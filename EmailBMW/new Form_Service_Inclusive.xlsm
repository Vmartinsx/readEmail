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msxinternational-my.sharepoint.com/personal/vinicius_martins_msxint_com/Documents/Documents/EmailBMW/"/>
    </mc:Choice>
  </mc:AlternateContent>
  <xr:revisionPtr revIDLastSave="5" documentId="8_{FC0A1CF1-1D3C-441B-AF81-2C6D31E790BB}" xr6:coauthVersionLast="47" xr6:coauthVersionMax="47" xr10:uidLastSave="{A64C328C-A3DD-4F57-BD83-1E017C09CB5A}"/>
  <bookViews>
    <workbookView xWindow="-120" yWindow="-120" windowWidth="20730" windowHeight="11160" tabRatio="874" firstSheet="1" activeTab="1" xr2:uid="{6FE64DF1-159D-4900-BF44-6D131A897641}"/>
  </bookViews>
  <sheets>
    <sheet name="CENÁRIOS DE TESTE" sheetId="14" state="hidden" r:id="rId1"/>
    <sheet name="INSTRUÇÕES" sheetId="18" r:id="rId2"/>
    <sheet name="Planilha1" sheetId="30" r:id="rId3"/>
    <sheet name="Máscara" sheetId="1" r:id="rId4"/>
    <sheet name="coleta manual" sheetId="19" r:id="rId5"/>
    <sheet name="pendente" sheetId="7" state="hidden" r:id="rId6"/>
    <sheet name="robot" sheetId="8" state="hidden" r:id="rId7"/>
    <sheet name="Termo de adesão BMW-Std" sheetId="13" r:id="rId8"/>
    <sheet name="Termo de adesão BMW-Std (2)" sheetId="20" state="hidden" r:id="rId9"/>
    <sheet name="Termo de adesão BEV-Std" sheetId="28" r:id="rId10"/>
    <sheet name="Termo de adesão BMW-Plus" sheetId="24" r:id="rId11"/>
    <sheet name="Termo de adesão BMW-Plus (2)" sheetId="21" state="hidden" r:id="rId12"/>
    <sheet name="Termo de adesão BEV-Plus" sheetId="29" r:id="rId13"/>
    <sheet name="Termo de adesão MINI-Std" sheetId="25" r:id="rId14"/>
    <sheet name="Termo de adesão MINI-Plus" sheetId="26" r:id="rId15"/>
    <sheet name="Termo de adesão MINI-Std (2)" sheetId="22" state="hidden" r:id="rId16"/>
    <sheet name="Termo de adesão MINI-Plus (2)" sheetId="23" state="hidden" r:id="rId17"/>
    <sheet name="Controle" sheetId="3" state="hidden" r:id="rId18"/>
    <sheet name="cálculo" sheetId="2" state="hidden" r:id="rId19"/>
    <sheet name="Price" sheetId="4" state="hidden" r:id="rId20"/>
  </sheets>
  <externalReferences>
    <externalReference r:id="rId21"/>
  </externalReferences>
  <definedNames>
    <definedName name="_xlnm._FilterDatabase" localSheetId="19" hidden="1">Price!$A$1:$G$1385</definedName>
    <definedName name="_xlnm.Print_Area" localSheetId="1">INSTRUÇÕES!$A$1:$L$22</definedName>
    <definedName name="_xlnm.Print_Area" localSheetId="3">Máscara!$R$1:$AI$30</definedName>
    <definedName name="_xlnm.Print_Area" localSheetId="12">'Termo de adesão BEV-Plus'!$A$1:$V$53</definedName>
    <definedName name="_xlnm.Print_Area" localSheetId="9">'Termo de adesão BEV-Std'!$A$1:$V$54</definedName>
    <definedName name="_xlnm.Print_Area" localSheetId="10">'Termo de adesão BMW-Plus'!$A$1:$V$53</definedName>
    <definedName name="_xlnm.Print_Area" localSheetId="11">'Termo de adesão BMW-Plus (2)'!$A$1:$V$48</definedName>
    <definedName name="_xlnm.Print_Area" localSheetId="7">'Termo de adesão BMW-Std'!$A$1:$V$53</definedName>
    <definedName name="_xlnm.Print_Area" localSheetId="8">'Termo de adesão BMW-Std (2)'!$A$1:$V$48</definedName>
    <definedName name="_xlnm.Print_Area" localSheetId="14">'Termo de adesão MINI-Plus'!$A$1:$V$53</definedName>
    <definedName name="_xlnm.Print_Area" localSheetId="16">'Termo de adesão MINI-Plus (2)'!$A$1:$V$48</definedName>
    <definedName name="_xlnm.Print_Area" localSheetId="13">'Termo de adesão MINI-Std'!$A$1:$V$53</definedName>
    <definedName name="_xlnm.Print_Area" localSheetId="15">'Termo de adesão MINI-Std (2)'!$A$1:$V$48</definedName>
    <definedName name="KM">[1]Controle!#REF!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3" i="29" l="1"/>
  <c r="G32" i="29"/>
  <c r="C24" i="29"/>
  <c r="D23" i="29"/>
  <c r="C22" i="29"/>
  <c r="E16" i="29"/>
  <c r="E15" i="29"/>
  <c r="D12" i="29"/>
  <c r="E11" i="29"/>
  <c r="C44" i="28"/>
  <c r="K33" i="28"/>
  <c r="C24" i="28"/>
  <c r="D23" i="28"/>
  <c r="E16" i="28"/>
  <c r="E15" i="28"/>
  <c r="D12" i="28"/>
  <c r="E11" i="28"/>
  <c r="C43" i="26"/>
  <c r="C24" i="26"/>
  <c r="D23" i="26"/>
  <c r="D22" i="26"/>
  <c r="E16" i="26"/>
  <c r="E15" i="26"/>
  <c r="C43" i="25"/>
  <c r="C24" i="25"/>
  <c r="D23" i="25"/>
  <c r="D22" i="25"/>
  <c r="E16" i="25"/>
  <c r="E15" i="25"/>
  <c r="C43" i="24"/>
  <c r="C24" i="24"/>
  <c r="D23" i="24"/>
  <c r="D22" i="24"/>
  <c r="E16" i="24"/>
  <c r="E15" i="24"/>
  <c r="C42" i="23"/>
  <c r="C24" i="23"/>
  <c r="D23" i="23"/>
  <c r="C22" i="23"/>
  <c r="E16" i="23"/>
  <c r="E15" i="23"/>
  <c r="C42" i="22"/>
  <c r="C24" i="22"/>
  <c r="D23" i="22"/>
  <c r="C22" i="22"/>
  <c r="E16" i="22"/>
  <c r="E15" i="22"/>
  <c r="C42" i="21"/>
  <c r="C24" i="21"/>
  <c r="D23" i="21"/>
  <c r="C22" i="21"/>
  <c r="E16" i="21"/>
  <c r="E15" i="21"/>
  <c r="C42" i="20"/>
  <c r="C24" i="20"/>
  <c r="D23" i="20"/>
  <c r="C22" i="20"/>
  <c r="E16" i="20"/>
  <c r="E15" i="20"/>
  <c r="M16" i="1"/>
  <c r="F31" i="23" s="1"/>
  <c r="B25" i="8"/>
  <c r="A25" i="8"/>
  <c r="X2" i="19"/>
  <c r="X1" i="19"/>
  <c r="D23" i="13"/>
  <c r="V2" i="19"/>
  <c r="O2" i="19"/>
  <c r="O1" i="19"/>
  <c r="Q1" i="19"/>
  <c r="P1" i="19"/>
  <c r="W2" i="19"/>
  <c r="W1" i="19"/>
  <c r="T1" i="19"/>
  <c r="S1" i="19"/>
  <c r="R1" i="19"/>
  <c r="N2" i="19"/>
  <c r="N1" i="19"/>
  <c r="M2" i="19"/>
  <c r="M1" i="19"/>
  <c r="L2" i="19"/>
  <c r="L1" i="19"/>
  <c r="K2" i="19"/>
  <c r="K1" i="19"/>
  <c r="J2" i="19"/>
  <c r="J1" i="19"/>
  <c r="I2" i="19"/>
  <c r="I1" i="19"/>
  <c r="H2" i="19"/>
  <c r="H1" i="19"/>
  <c r="G2" i="19"/>
  <c r="G1" i="19"/>
  <c r="F2" i="19"/>
  <c r="F1" i="19"/>
  <c r="E2" i="19"/>
  <c r="E1" i="19"/>
  <c r="D1" i="19"/>
  <c r="C2" i="19"/>
  <c r="B2" i="19"/>
  <c r="B1" i="19"/>
  <c r="A2" i="19"/>
  <c r="A1" i="19"/>
  <c r="U1" i="19"/>
  <c r="C1" i="19"/>
  <c r="E29" i="1"/>
  <c r="A10" i="14"/>
  <c r="A11" i="14" s="1"/>
  <c r="A12" i="14" s="1"/>
  <c r="A13" i="14" s="1"/>
  <c r="A14" i="14" s="1"/>
  <c r="A15" i="14" s="1"/>
  <c r="A16" i="14" s="1"/>
  <c r="A17" i="14" s="1"/>
  <c r="A1385" i="4"/>
  <c r="A1384" i="4"/>
  <c r="A1383" i="4"/>
  <c r="A1382" i="4"/>
  <c r="A1381" i="4"/>
  <c r="A1380" i="4"/>
  <c r="A1379" i="4"/>
  <c r="A1378" i="4"/>
  <c r="A1377" i="4"/>
  <c r="A1376" i="4"/>
  <c r="A1375" i="4"/>
  <c r="A1374" i="4"/>
  <c r="A1373" i="4"/>
  <c r="A1372" i="4"/>
  <c r="A1371" i="4"/>
  <c r="A1370" i="4"/>
  <c r="A1369" i="4"/>
  <c r="A1368" i="4"/>
  <c r="A1367" i="4"/>
  <c r="A1366" i="4"/>
  <c r="A1365" i="4"/>
  <c r="A1364" i="4"/>
  <c r="A1363" i="4"/>
  <c r="A1362" i="4"/>
  <c r="A1361" i="4"/>
  <c r="A1360" i="4"/>
  <c r="A1359" i="4"/>
  <c r="A1358" i="4"/>
  <c r="A1357" i="4"/>
  <c r="A1356" i="4"/>
  <c r="A1355" i="4"/>
  <c r="A1354" i="4"/>
  <c r="A1353" i="4"/>
  <c r="A1352" i="4"/>
  <c r="A1351" i="4"/>
  <c r="A1350" i="4"/>
  <c r="A1349" i="4"/>
  <c r="A1348" i="4"/>
  <c r="A1347" i="4"/>
  <c r="A1346" i="4"/>
  <c r="A1345" i="4"/>
  <c r="A1344" i="4"/>
  <c r="A1343" i="4"/>
  <c r="A1342" i="4"/>
  <c r="A1341" i="4"/>
  <c r="A1340" i="4"/>
  <c r="A1339" i="4"/>
  <c r="A1338" i="4"/>
  <c r="A1337" i="4"/>
  <c r="A1336" i="4"/>
  <c r="A1335" i="4"/>
  <c r="A1334" i="4"/>
  <c r="A1333" i="4"/>
  <c r="A1332" i="4"/>
  <c r="A1331" i="4"/>
  <c r="A1330" i="4"/>
  <c r="A1329" i="4"/>
  <c r="A1328" i="4"/>
  <c r="A1327" i="4"/>
  <c r="A1326" i="4"/>
  <c r="A1325" i="4"/>
  <c r="A1324" i="4"/>
  <c r="A1323" i="4"/>
  <c r="A1322" i="4"/>
  <c r="A1321" i="4"/>
  <c r="A1320" i="4"/>
  <c r="A1319" i="4"/>
  <c r="A1318" i="4"/>
  <c r="A1317" i="4"/>
  <c r="A1316" i="4"/>
  <c r="A1315" i="4"/>
  <c r="A1314" i="4"/>
  <c r="A1313" i="4"/>
  <c r="A1312" i="4"/>
  <c r="A1311" i="4"/>
  <c r="A1310" i="4"/>
  <c r="A1309" i="4"/>
  <c r="A1308" i="4"/>
  <c r="A1307" i="4"/>
  <c r="A1306" i="4"/>
  <c r="A1305" i="4"/>
  <c r="A1304" i="4"/>
  <c r="A1303" i="4"/>
  <c r="A1302" i="4"/>
  <c r="A1301" i="4"/>
  <c r="A1300" i="4"/>
  <c r="A1299" i="4"/>
  <c r="A1298" i="4"/>
  <c r="A1297" i="4"/>
  <c r="A1296" i="4"/>
  <c r="A1295" i="4"/>
  <c r="A1294" i="4"/>
  <c r="A1293" i="4"/>
  <c r="A1292" i="4"/>
  <c r="A1291" i="4"/>
  <c r="A1290" i="4"/>
  <c r="A1289" i="4"/>
  <c r="A1288" i="4"/>
  <c r="A1287" i="4"/>
  <c r="A1286" i="4"/>
  <c r="A1285" i="4"/>
  <c r="A1284" i="4"/>
  <c r="A1283" i="4"/>
  <c r="A1282" i="4"/>
  <c r="A1281" i="4"/>
  <c r="A1280" i="4"/>
  <c r="A1279" i="4"/>
  <c r="A1278" i="4"/>
  <c r="A1277" i="4"/>
  <c r="A1276" i="4"/>
  <c r="A1275" i="4"/>
  <c r="A1274" i="4"/>
  <c r="A1273" i="4"/>
  <c r="A1272" i="4"/>
  <c r="A1271" i="4"/>
  <c r="A1270" i="4"/>
  <c r="A1269" i="4"/>
  <c r="A1268" i="4"/>
  <c r="A1267" i="4"/>
  <c r="A1266" i="4"/>
  <c r="A1265" i="4"/>
  <c r="A1264" i="4"/>
  <c r="A1263" i="4"/>
  <c r="A1262" i="4"/>
  <c r="A1261" i="4"/>
  <c r="A1260" i="4"/>
  <c r="A1259" i="4"/>
  <c r="A1258" i="4"/>
  <c r="A1257" i="4"/>
  <c r="A1256" i="4"/>
  <c r="A1255" i="4"/>
  <c r="A1254" i="4"/>
  <c r="A1253" i="4"/>
  <c r="A1252" i="4"/>
  <c r="A1251" i="4"/>
  <c r="A1250" i="4"/>
  <c r="A1249" i="4"/>
  <c r="A1248" i="4"/>
  <c r="A1247" i="4"/>
  <c r="A1246" i="4"/>
  <c r="A1245" i="4"/>
  <c r="A1244" i="4"/>
  <c r="A1243" i="4"/>
  <c r="A1242" i="4"/>
  <c r="A1241" i="4"/>
  <c r="A1240" i="4"/>
  <c r="A1239" i="4"/>
  <c r="A1238" i="4"/>
  <c r="A1237" i="4"/>
  <c r="A1236" i="4"/>
  <c r="A1235" i="4"/>
  <c r="A1234" i="4"/>
  <c r="A1233" i="4"/>
  <c r="A1232" i="4"/>
  <c r="A1231" i="4"/>
  <c r="A1230" i="4"/>
  <c r="A1229" i="4"/>
  <c r="A1228" i="4"/>
  <c r="A1227" i="4"/>
  <c r="A1226" i="4"/>
  <c r="A1225" i="4"/>
  <c r="A1224" i="4"/>
  <c r="A1223" i="4"/>
  <c r="A1222" i="4"/>
  <c r="A1221" i="4"/>
  <c r="A1220" i="4"/>
  <c r="A1219" i="4"/>
  <c r="A1218" i="4"/>
  <c r="A1217" i="4"/>
  <c r="A1216" i="4"/>
  <c r="A1215" i="4"/>
  <c r="A1214" i="4"/>
  <c r="A1213" i="4"/>
  <c r="A1212" i="4"/>
  <c r="A1211" i="4"/>
  <c r="A1210" i="4"/>
  <c r="A1209" i="4"/>
  <c r="A1208" i="4"/>
  <c r="A1207" i="4"/>
  <c r="A1206" i="4"/>
  <c r="A1205" i="4"/>
  <c r="A1204" i="4"/>
  <c r="A1203" i="4"/>
  <c r="A1202" i="4"/>
  <c r="A1201" i="4"/>
  <c r="A1200" i="4"/>
  <c r="A1199" i="4"/>
  <c r="A1198" i="4"/>
  <c r="A1197" i="4"/>
  <c r="A1196" i="4"/>
  <c r="A1195" i="4"/>
  <c r="A1194" i="4"/>
  <c r="A1193" i="4"/>
  <c r="A1192" i="4"/>
  <c r="A1191" i="4"/>
  <c r="A1190" i="4"/>
  <c r="A1189" i="4"/>
  <c r="A1188" i="4"/>
  <c r="A1187" i="4"/>
  <c r="A1186" i="4"/>
  <c r="A1185" i="4"/>
  <c r="A1184" i="4"/>
  <c r="A1183" i="4"/>
  <c r="A1182" i="4"/>
  <c r="A1181" i="4"/>
  <c r="A1180" i="4"/>
  <c r="A1179" i="4"/>
  <c r="A1178" i="4"/>
  <c r="A1177" i="4"/>
  <c r="A1176" i="4"/>
  <c r="A1175" i="4"/>
  <c r="A1174" i="4"/>
  <c r="A1173" i="4"/>
  <c r="A1172" i="4"/>
  <c r="A1171" i="4"/>
  <c r="A1170" i="4"/>
  <c r="A1169" i="4"/>
  <c r="A1168" i="4"/>
  <c r="A1167" i="4"/>
  <c r="A1166" i="4"/>
  <c r="A1165" i="4"/>
  <c r="A1164" i="4"/>
  <c r="A1163" i="4"/>
  <c r="A1162" i="4"/>
  <c r="A1161" i="4"/>
  <c r="A1160" i="4"/>
  <c r="A1159" i="4"/>
  <c r="A1158" i="4"/>
  <c r="A1157" i="4"/>
  <c r="A1156" i="4"/>
  <c r="A1155" i="4"/>
  <c r="A1154" i="4"/>
  <c r="A1153" i="4"/>
  <c r="A1152" i="4"/>
  <c r="A1151" i="4"/>
  <c r="A1150" i="4"/>
  <c r="A1149" i="4"/>
  <c r="A1148" i="4"/>
  <c r="A1147" i="4"/>
  <c r="A1146" i="4"/>
  <c r="A1145" i="4"/>
  <c r="A1144" i="4"/>
  <c r="A1143" i="4"/>
  <c r="A1142" i="4"/>
  <c r="A1141" i="4"/>
  <c r="A1140" i="4"/>
  <c r="A1139" i="4"/>
  <c r="A1138" i="4"/>
  <c r="A1137" i="4"/>
  <c r="A1136" i="4"/>
  <c r="A1135" i="4"/>
  <c r="A1134" i="4"/>
  <c r="A1133" i="4"/>
  <c r="A1132" i="4"/>
  <c r="A1131" i="4"/>
  <c r="A1130" i="4"/>
  <c r="A1129" i="4"/>
  <c r="A1128" i="4"/>
  <c r="A1127" i="4"/>
  <c r="A1126" i="4"/>
  <c r="A1125" i="4"/>
  <c r="A1124" i="4"/>
  <c r="A1123" i="4"/>
  <c r="A1122" i="4"/>
  <c r="A1121" i="4"/>
  <c r="A1120" i="4"/>
  <c r="A1119" i="4"/>
  <c r="A1118" i="4"/>
  <c r="A1117" i="4"/>
  <c r="A1116" i="4"/>
  <c r="A1115" i="4"/>
  <c r="A1114" i="4"/>
  <c r="A1113" i="4"/>
  <c r="A1112" i="4"/>
  <c r="A1111" i="4"/>
  <c r="A1110" i="4"/>
  <c r="A1109" i="4"/>
  <c r="A1108" i="4"/>
  <c r="A1107" i="4"/>
  <c r="A1106" i="4"/>
  <c r="A1105" i="4"/>
  <c r="A1104" i="4"/>
  <c r="A1103" i="4"/>
  <c r="A1102" i="4"/>
  <c r="A1101" i="4"/>
  <c r="A1100" i="4"/>
  <c r="A1099" i="4"/>
  <c r="A1098" i="4"/>
  <c r="A1097" i="4"/>
  <c r="A1096" i="4"/>
  <c r="A1095" i="4"/>
  <c r="A1094" i="4"/>
  <c r="A1093" i="4"/>
  <c r="A1092" i="4"/>
  <c r="A1091" i="4"/>
  <c r="A1090" i="4"/>
  <c r="A1089" i="4"/>
  <c r="A1088" i="4"/>
  <c r="A1087" i="4"/>
  <c r="A1086" i="4"/>
  <c r="A1085" i="4"/>
  <c r="A1084" i="4"/>
  <c r="A1083" i="4"/>
  <c r="A1082" i="4"/>
  <c r="A1081" i="4"/>
  <c r="A1080" i="4"/>
  <c r="A1079" i="4"/>
  <c r="A1078" i="4"/>
  <c r="A1077" i="4"/>
  <c r="A1076" i="4"/>
  <c r="A1075" i="4"/>
  <c r="A1074" i="4"/>
  <c r="A1073" i="4"/>
  <c r="A1072" i="4"/>
  <c r="A1071" i="4"/>
  <c r="A1070" i="4"/>
  <c r="A1069" i="4"/>
  <c r="A1068" i="4"/>
  <c r="A1067" i="4"/>
  <c r="A1066" i="4"/>
  <c r="A1065" i="4"/>
  <c r="A1064" i="4"/>
  <c r="A1063" i="4"/>
  <c r="A1062" i="4"/>
  <c r="A1061" i="4"/>
  <c r="A1060" i="4"/>
  <c r="A1059" i="4"/>
  <c r="A1058" i="4"/>
  <c r="A1057" i="4"/>
  <c r="A1056" i="4"/>
  <c r="A1055" i="4"/>
  <c r="A1054" i="4"/>
  <c r="A1053" i="4"/>
  <c r="A1052" i="4"/>
  <c r="A1051" i="4"/>
  <c r="A1050" i="4"/>
  <c r="A1049" i="4"/>
  <c r="A1048" i="4"/>
  <c r="A1047" i="4"/>
  <c r="A1046" i="4"/>
  <c r="A1045" i="4"/>
  <c r="A1044" i="4"/>
  <c r="A1043" i="4"/>
  <c r="A1042" i="4"/>
  <c r="A1041" i="4"/>
  <c r="A1040" i="4"/>
  <c r="A1039" i="4"/>
  <c r="A1038" i="4"/>
  <c r="A1037" i="4"/>
  <c r="A1036" i="4"/>
  <c r="A1035" i="4"/>
  <c r="A1034" i="4"/>
  <c r="A1033" i="4"/>
  <c r="A1032" i="4"/>
  <c r="A1031" i="4"/>
  <c r="A1030" i="4"/>
  <c r="A1029" i="4"/>
  <c r="A1028" i="4"/>
  <c r="A1027" i="4"/>
  <c r="A1026" i="4"/>
  <c r="A1025" i="4"/>
  <c r="A1024" i="4"/>
  <c r="A1023" i="4"/>
  <c r="A1022" i="4"/>
  <c r="A1021" i="4"/>
  <c r="A1020" i="4"/>
  <c r="A1019" i="4"/>
  <c r="A1018" i="4"/>
  <c r="A1017" i="4"/>
  <c r="A1016" i="4"/>
  <c r="A1015" i="4"/>
  <c r="A1014" i="4"/>
  <c r="A1013" i="4"/>
  <c r="A1012" i="4"/>
  <c r="A1011" i="4"/>
  <c r="A1010" i="4"/>
  <c r="A1009" i="4"/>
  <c r="A1008" i="4"/>
  <c r="A1007" i="4"/>
  <c r="A1006" i="4"/>
  <c r="A1005" i="4"/>
  <c r="A1004" i="4"/>
  <c r="A1003" i="4"/>
  <c r="A1002" i="4"/>
  <c r="A1001" i="4"/>
  <c r="A1000" i="4"/>
  <c r="A999" i="4"/>
  <c r="A998" i="4"/>
  <c r="A997" i="4"/>
  <c r="A996" i="4"/>
  <c r="A995" i="4"/>
  <c r="A994" i="4"/>
  <c r="A993" i="4"/>
  <c r="A992" i="4"/>
  <c r="A991" i="4"/>
  <c r="A990" i="4"/>
  <c r="A989" i="4"/>
  <c r="A988" i="4"/>
  <c r="A987" i="4"/>
  <c r="A986" i="4"/>
  <c r="A985" i="4"/>
  <c r="A984" i="4"/>
  <c r="A983" i="4"/>
  <c r="A982" i="4"/>
  <c r="A981" i="4"/>
  <c r="A980" i="4"/>
  <c r="A979" i="4"/>
  <c r="A978" i="4"/>
  <c r="A977" i="4"/>
  <c r="A976" i="4"/>
  <c r="A975" i="4"/>
  <c r="A974" i="4"/>
  <c r="A973" i="4"/>
  <c r="A972" i="4"/>
  <c r="A971" i="4"/>
  <c r="A970" i="4"/>
  <c r="A969" i="4"/>
  <c r="A968" i="4"/>
  <c r="A967" i="4"/>
  <c r="A966" i="4"/>
  <c r="A965" i="4"/>
  <c r="A964" i="4"/>
  <c r="A963" i="4"/>
  <c r="A962" i="4"/>
  <c r="A961" i="4"/>
  <c r="A960" i="4"/>
  <c r="A959" i="4"/>
  <c r="A958" i="4"/>
  <c r="A957" i="4"/>
  <c r="A956" i="4"/>
  <c r="A955" i="4"/>
  <c r="A954" i="4"/>
  <c r="A953" i="4"/>
  <c r="A952" i="4"/>
  <c r="A951" i="4"/>
  <c r="A950" i="4"/>
  <c r="A949" i="4"/>
  <c r="A948" i="4"/>
  <c r="A947" i="4"/>
  <c r="A946" i="4"/>
  <c r="A945" i="4"/>
  <c r="A944" i="4"/>
  <c r="A943" i="4"/>
  <c r="A942" i="4"/>
  <c r="A941" i="4"/>
  <c r="A940" i="4"/>
  <c r="A939" i="4"/>
  <c r="A938" i="4"/>
  <c r="A937" i="4"/>
  <c r="A936" i="4"/>
  <c r="A935" i="4"/>
  <c r="A934" i="4"/>
  <c r="A933" i="4"/>
  <c r="A932" i="4"/>
  <c r="A931" i="4"/>
  <c r="A930" i="4"/>
  <c r="A929" i="4"/>
  <c r="A928" i="4"/>
  <c r="A927" i="4"/>
  <c r="A926" i="4"/>
  <c r="A925" i="4"/>
  <c r="A924" i="4"/>
  <c r="A923" i="4"/>
  <c r="A922" i="4"/>
  <c r="A921" i="4"/>
  <c r="A920" i="4"/>
  <c r="A919" i="4"/>
  <c r="A918" i="4"/>
  <c r="A917" i="4"/>
  <c r="A916" i="4"/>
  <c r="A915" i="4"/>
  <c r="A914" i="4"/>
  <c r="A913" i="4"/>
  <c r="A912" i="4"/>
  <c r="A911" i="4"/>
  <c r="A910" i="4"/>
  <c r="A909" i="4"/>
  <c r="A908" i="4"/>
  <c r="A907" i="4"/>
  <c r="A906" i="4"/>
  <c r="A905" i="4"/>
  <c r="A904" i="4"/>
  <c r="A903" i="4"/>
  <c r="A902" i="4"/>
  <c r="A901" i="4"/>
  <c r="A900" i="4"/>
  <c r="A899" i="4"/>
  <c r="A898" i="4"/>
  <c r="A897" i="4"/>
  <c r="A896" i="4"/>
  <c r="A895" i="4"/>
  <c r="A894" i="4"/>
  <c r="A893" i="4"/>
  <c r="A892" i="4"/>
  <c r="A891" i="4"/>
  <c r="A890" i="4"/>
  <c r="A889" i="4"/>
  <c r="A888" i="4"/>
  <c r="A887" i="4"/>
  <c r="A886" i="4"/>
  <c r="A885" i="4"/>
  <c r="A884" i="4"/>
  <c r="A883" i="4"/>
  <c r="A882" i="4"/>
  <c r="A881" i="4"/>
  <c r="A880" i="4"/>
  <c r="A879" i="4"/>
  <c r="A878" i="4"/>
  <c r="A877" i="4"/>
  <c r="A876" i="4"/>
  <c r="A875" i="4"/>
  <c r="A874" i="4"/>
  <c r="A873" i="4"/>
  <c r="A872" i="4"/>
  <c r="A871" i="4"/>
  <c r="A870" i="4"/>
  <c r="A869" i="4"/>
  <c r="A868" i="4"/>
  <c r="A867" i="4"/>
  <c r="A866" i="4"/>
  <c r="A865" i="4"/>
  <c r="A864" i="4"/>
  <c r="A863" i="4"/>
  <c r="A862" i="4"/>
  <c r="A861" i="4"/>
  <c r="A860" i="4"/>
  <c r="A859" i="4"/>
  <c r="A858" i="4"/>
  <c r="A857" i="4"/>
  <c r="A856" i="4"/>
  <c r="A855" i="4"/>
  <c r="A854" i="4"/>
  <c r="A853" i="4"/>
  <c r="A852" i="4"/>
  <c r="A851" i="4"/>
  <c r="A850" i="4"/>
  <c r="A849" i="4"/>
  <c r="A848" i="4"/>
  <c r="A847" i="4"/>
  <c r="A846" i="4"/>
  <c r="A845" i="4"/>
  <c r="A844" i="4"/>
  <c r="A843" i="4"/>
  <c r="A842" i="4"/>
  <c r="A841" i="4"/>
  <c r="A840" i="4"/>
  <c r="A839" i="4"/>
  <c r="A838" i="4"/>
  <c r="A837" i="4"/>
  <c r="A836" i="4"/>
  <c r="A835" i="4"/>
  <c r="A834" i="4"/>
  <c r="A833" i="4"/>
  <c r="A832" i="4"/>
  <c r="A831" i="4"/>
  <c r="A830" i="4"/>
  <c r="A829" i="4"/>
  <c r="A828" i="4"/>
  <c r="A827" i="4"/>
  <c r="A826" i="4"/>
  <c r="A825" i="4"/>
  <c r="A824" i="4"/>
  <c r="A823" i="4"/>
  <c r="A822" i="4"/>
  <c r="A821" i="4"/>
  <c r="A820" i="4"/>
  <c r="A819" i="4"/>
  <c r="A818" i="4"/>
  <c r="A817" i="4"/>
  <c r="A816" i="4"/>
  <c r="A815" i="4"/>
  <c r="A814" i="4"/>
  <c r="A813" i="4"/>
  <c r="A812" i="4"/>
  <c r="A811" i="4"/>
  <c r="A810" i="4"/>
  <c r="A809" i="4"/>
  <c r="A808" i="4"/>
  <c r="A807" i="4"/>
  <c r="A806" i="4"/>
  <c r="A805" i="4"/>
  <c r="A804" i="4"/>
  <c r="A803" i="4"/>
  <c r="A802" i="4"/>
  <c r="A801" i="4"/>
  <c r="A800" i="4"/>
  <c r="A799" i="4"/>
  <c r="A798" i="4"/>
  <c r="A797" i="4"/>
  <c r="A796" i="4"/>
  <c r="A795" i="4"/>
  <c r="A794" i="4"/>
  <c r="A793" i="4"/>
  <c r="A792" i="4"/>
  <c r="A791" i="4"/>
  <c r="A790" i="4"/>
  <c r="A789" i="4"/>
  <c r="A788" i="4"/>
  <c r="A787" i="4"/>
  <c r="A786" i="4"/>
  <c r="A785" i="4"/>
  <c r="A784" i="4"/>
  <c r="A783" i="4"/>
  <c r="A782" i="4"/>
  <c r="A781" i="4"/>
  <c r="A780" i="4"/>
  <c r="A779" i="4"/>
  <c r="A778" i="4"/>
  <c r="A777" i="4"/>
  <c r="A776" i="4"/>
  <c r="A775" i="4"/>
  <c r="A774" i="4"/>
  <c r="A773" i="4"/>
  <c r="A772" i="4"/>
  <c r="A771" i="4"/>
  <c r="A770" i="4"/>
  <c r="A769" i="4"/>
  <c r="A768" i="4"/>
  <c r="A767" i="4"/>
  <c r="A766" i="4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F31" i="20" l="1"/>
  <c r="F31" i="21"/>
  <c r="F31" i="22"/>
  <c r="G32" i="24"/>
  <c r="G32" i="25"/>
  <c r="G32" i="26"/>
  <c r="A3" i="14"/>
  <c r="A4" i="14" s="1"/>
  <c r="A5" i="14" s="1"/>
  <c r="A6" i="14" s="1"/>
  <c r="A7" i="14" s="1"/>
  <c r="A8" i="14" s="1"/>
  <c r="A9" i="14" s="1"/>
  <c r="M19" i="1"/>
  <c r="F33" i="29" s="1"/>
  <c r="C43" i="13"/>
  <c r="C24" i="13"/>
  <c r="D22" i="13"/>
  <c r="E16" i="13"/>
  <c r="E15" i="13"/>
  <c r="Q2" i="19" l="1"/>
  <c r="F33" i="24"/>
  <c r="F33" i="26"/>
  <c r="D32" i="21"/>
  <c r="D32" i="20"/>
  <c r="D32" i="23"/>
  <c r="F33" i="25"/>
  <c r="D32" i="22"/>
  <c r="F33" i="13"/>
  <c r="B23" i="8"/>
  <c r="A20" i="8"/>
  <c r="A5" i="8" l="1"/>
  <c r="A22" i="8"/>
  <c r="A21" i="8"/>
  <c r="A18" i="8"/>
  <c r="A17" i="8"/>
  <c r="A19" i="8"/>
  <c r="B18" i="8"/>
  <c r="B24" i="8"/>
  <c r="A24" i="8"/>
  <c r="B16" i="8"/>
  <c r="A16" i="8"/>
  <c r="B15" i="8"/>
  <c r="A15" i="8"/>
  <c r="B14" i="8"/>
  <c r="A14" i="8"/>
  <c r="B12" i="8"/>
  <c r="A12" i="8"/>
  <c r="B2" i="8"/>
  <c r="A2" i="8"/>
  <c r="B10" i="8"/>
  <c r="A10" i="8"/>
  <c r="B11" i="8"/>
  <c r="A11" i="8"/>
  <c r="B9" i="8"/>
  <c r="A9" i="8"/>
  <c r="B13" i="8"/>
  <c r="A13" i="8"/>
  <c r="B7" i="8"/>
  <c r="A7" i="8"/>
  <c r="B35" i="1"/>
  <c r="B8" i="8"/>
  <c r="A8" i="8"/>
  <c r="B6" i="8"/>
  <c r="A6" i="8"/>
  <c r="B4" i="8"/>
  <c r="A4" i="8"/>
  <c r="B3" i="8"/>
  <c r="A3" i="8"/>
  <c r="D34" i="1" l="1"/>
  <c r="C34" i="1"/>
  <c r="B34" i="1"/>
  <c r="P2" i="19"/>
  <c r="B3" i="2"/>
  <c r="F6" i="2"/>
  <c r="G32" i="13" l="1"/>
  <c r="B17" i="8"/>
  <c r="C7" i="2"/>
  <c r="M8" i="1"/>
  <c r="C6" i="2"/>
  <c r="B2" i="2"/>
  <c r="V27" i="3"/>
  <c r="V26" i="3"/>
  <c r="V25" i="3"/>
  <c r="V24" i="3"/>
  <c r="V23" i="3"/>
  <c r="V22" i="3"/>
  <c r="V21" i="3"/>
  <c r="V20" i="3"/>
  <c r="V19" i="3"/>
  <c r="V18" i="3"/>
  <c r="V17" i="3"/>
  <c r="V16" i="3"/>
  <c r="V15" i="3"/>
  <c r="V14" i="3"/>
  <c r="V13" i="3"/>
  <c r="V12" i="3"/>
  <c r="V11" i="3"/>
  <c r="V10" i="3"/>
  <c r="V9" i="3"/>
  <c r="V8" i="3"/>
  <c r="V7" i="3"/>
  <c r="V6" i="3"/>
  <c r="V5" i="3"/>
  <c r="V4" i="3"/>
  <c r="V3" i="3"/>
  <c r="V2" i="3"/>
  <c r="G6" i="2" s="1"/>
  <c r="F7" i="2" s="1"/>
  <c r="G7" i="2" s="1"/>
  <c r="O8" i="1" l="1"/>
  <c r="D2" i="19"/>
  <c r="B5" i="8"/>
  <c r="C10" i="2"/>
  <c r="C8" i="2" s="1"/>
  <c r="C9" i="2" s="1"/>
  <c r="C12" i="2" s="1"/>
  <c r="O15" i="1" s="1"/>
  <c r="M13" i="1"/>
  <c r="S2" i="19" l="1"/>
  <c r="D12" i="26"/>
  <c r="D12" i="25"/>
  <c r="D12" i="24"/>
  <c r="D12" i="23"/>
  <c r="D12" i="22"/>
  <c r="D12" i="21"/>
  <c r="D12" i="20"/>
  <c r="R2" i="19"/>
  <c r="E11" i="26"/>
  <c r="E11" i="24"/>
  <c r="E11" i="23"/>
  <c r="E11" i="21"/>
  <c r="E11" i="22"/>
  <c r="E11" i="25"/>
  <c r="E11" i="20"/>
  <c r="O22" i="1"/>
  <c r="M22" i="1"/>
  <c r="D12" i="13"/>
  <c r="B19" i="8"/>
  <c r="E11" i="13"/>
  <c r="B20" i="8"/>
  <c r="G19" i="28" l="1" a="1"/>
  <c r="G19" i="28" s="1"/>
  <c r="G19" i="29" a="1"/>
  <c r="G19" i="29" s="1"/>
  <c r="E19" i="23" a="1"/>
  <c r="E19" i="23" s="1"/>
  <c r="E19" i="20" a="1"/>
  <c r="E19" i="20" s="1"/>
  <c r="G19" i="25" a="1"/>
  <c r="G19" i="25" s="1"/>
  <c r="E19" i="22" a="1"/>
  <c r="E19" i="22" s="1"/>
  <c r="G19" i="24" a="1"/>
  <c r="G19" i="24" s="1"/>
  <c r="G19" i="26" a="1"/>
  <c r="G19" i="26" s="1"/>
  <c r="E19" i="21" a="1"/>
  <c r="E19" i="21" s="1"/>
  <c r="U2" i="19" a="1"/>
  <c r="U2" i="19" s="1"/>
  <c r="T2" i="19"/>
  <c r="B22" i="8" l="1" a="1"/>
  <c r="B22" i="8" s="1"/>
  <c r="G19" i="13" a="1"/>
  <c r="G19" i="13" s="1"/>
  <c r="B2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Denis Luque Martins</author>
  </authors>
  <commentList>
    <comment ref="E16" authorId="0" shapeId="0" xr:uid="{8B15CFBA-11A3-4609-A4A3-BB350AA8E795}">
      <text>
        <r>
          <rPr>
            <b/>
            <sz val="9"/>
            <color indexed="81"/>
            <rFont val="Segoe UI"/>
            <family val="2"/>
          </rPr>
          <t>Campo texto:
CPF ou CNPJ</t>
        </r>
      </text>
    </comment>
    <comment ref="G16" authorId="0" shapeId="0" xr:uid="{0D3C92EF-503B-4DD9-86D7-91FCF8E8502E}">
      <text>
        <r>
          <rPr>
            <b/>
            <sz val="9"/>
            <color indexed="81"/>
            <rFont val="Segoe UI"/>
            <family val="2"/>
          </rPr>
          <t>Telefone celular com DDD.
Digite somente os números.</t>
        </r>
      </text>
    </comment>
    <comment ref="E21" authorId="0" shapeId="0" xr:uid="{DFF0D521-869A-4329-AB74-4B246C586CE0}">
      <text>
        <r>
          <rPr>
            <b/>
            <sz val="9"/>
            <color indexed="81"/>
            <rFont val="Segoe UI"/>
            <family val="2"/>
          </rPr>
          <t>NOVO: até o momento da primeira manutenção.
USADO: já fez a primeira manutenção.</t>
        </r>
      </text>
    </comment>
    <comment ref="I21" authorId="0" shapeId="0" xr:uid="{7591BB51-0078-4744-AC56-8DB3A42C5C1D}">
      <text>
        <r>
          <rPr>
            <b/>
            <sz val="9"/>
            <color indexed="81"/>
            <rFont val="Segoe UI"/>
            <family val="2"/>
          </rPr>
          <t>É a mesma data da retirada do veículo 0km da concessionária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<sst xmlns="http://schemas.openxmlformats.org/spreadsheetml/2006/main" count="7800" uniqueCount="613">
  <si>
    <t>DEPARTAMENTO</t>
  </si>
  <si>
    <t>CHASSI</t>
  </si>
  <si>
    <t>E-MAIL DO CLIENTE</t>
  </si>
  <si>
    <t>TELEFONE DO CLIENTE</t>
  </si>
  <si>
    <t>CLASSIFICAÇÃO DO VEÍCULO</t>
  </si>
  <si>
    <t>MODELO DO VEÍCULO</t>
  </si>
  <si>
    <t>PACOTE CONTRATADO (KM)</t>
  </si>
  <si>
    <t>TIPO DE PACOTE</t>
  </si>
  <si>
    <t>Sim</t>
  </si>
  <si>
    <t>Não</t>
  </si>
  <si>
    <t>Plus</t>
  </si>
  <si>
    <t>DEALERCODE</t>
  </si>
  <si>
    <t>NOME DA CONCESSIONÁRIA</t>
  </si>
  <si>
    <t>CNPJ</t>
  </si>
  <si>
    <t>DEALER CODE</t>
  </si>
  <si>
    <t>TIPO DE CONTRATO</t>
  </si>
  <si>
    <t>VEÍCULO NOVO OU SEMINOVO</t>
  </si>
  <si>
    <t>PACOTE VENDIDO (ANO)</t>
  </si>
  <si>
    <t>PACOTE STANDARD OU PLUS</t>
  </si>
  <si>
    <t>ANO</t>
  </si>
  <si>
    <t>DIAS</t>
  </si>
  <si>
    <t>CHAVE</t>
  </si>
  <si>
    <t>time / mileage
(years / tkm)</t>
  </si>
  <si>
    <t>content</t>
  </si>
  <si>
    <t>Option 
Code</t>
  </si>
  <si>
    <t>Setor</t>
  </si>
  <si>
    <t>Agulhas Negras - 23</t>
  </si>
  <si>
    <t>03.338.422/0004-02</t>
  </si>
  <si>
    <t>EXTENSÃO</t>
  </si>
  <si>
    <t>NOVO</t>
  </si>
  <si>
    <t>SÉRIE 1</t>
  </si>
  <si>
    <t>STANDARD</t>
  </si>
  <si>
    <t>3/40000</t>
  </si>
  <si>
    <t>Standard</t>
  </si>
  <si>
    <t>07US</t>
  </si>
  <si>
    <t>PÓS-VENDAS</t>
  </si>
  <si>
    <t>Agulhas Negras - SBC</t>
  </si>
  <si>
    <t>03.338.422/0001-60</t>
  </si>
  <si>
    <t>UPGRADE</t>
  </si>
  <si>
    <t>USADO</t>
  </si>
  <si>
    <t>SÉRIE 2</t>
  </si>
  <si>
    <t>PLUS</t>
  </si>
  <si>
    <t>07D7</t>
  </si>
  <si>
    <t>VENDAS</t>
  </si>
  <si>
    <t>Autokraft</t>
  </si>
  <si>
    <t>42.307.884/0001-71</t>
  </si>
  <si>
    <t>EXTENSÃO E UPGRADE</t>
  </si>
  <si>
    <t>SÉRIE 3</t>
  </si>
  <si>
    <t>3/60000</t>
  </si>
  <si>
    <t>07NG</t>
  </si>
  <si>
    <t>Autostar - Colômbia</t>
  </si>
  <si>
    <t>68.976.091/0002-10</t>
  </si>
  <si>
    <t>SÉRIE 4</t>
  </si>
  <si>
    <t>07NM</t>
  </si>
  <si>
    <t>Autostar - MINI</t>
  </si>
  <si>
    <t>68.976.091/0014-53</t>
  </si>
  <si>
    <t>SÉRIE 5</t>
  </si>
  <si>
    <t>3/100000</t>
  </si>
  <si>
    <t>07DA</t>
  </si>
  <si>
    <t xml:space="preserve">Autostar - Morumbi </t>
  </si>
  <si>
    <t>68.976.091/0005-62  </t>
  </si>
  <si>
    <t>SÉRIE 6</t>
  </si>
  <si>
    <t>07DB</t>
  </si>
  <si>
    <t>Autostar - Vila Olimpia</t>
  </si>
  <si>
    <t>68.976.091/0006-43</t>
  </si>
  <si>
    <t>SÉRIE 7</t>
  </si>
  <si>
    <t>4/60000</t>
  </si>
  <si>
    <t>07DD</t>
  </si>
  <si>
    <t xml:space="preserve">Barigui </t>
  </si>
  <si>
    <t>09.602.000/0001-36</t>
  </si>
  <si>
    <t>SÉRIE 8</t>
  </si>
  <si>
    <t>07DE</t>
  </si>
  <si>
    <t>BM Rio</t>
  </si>
  <si>
    <t>35.875.630/0001-94</t>
  </si>
  <si>
    <t>X7</t>
  </si>
  <si>
    <t>4/80000</t>
  </si>
  <si>
    <t>07NX</t>
  </si>
  <si>
    <t>BM Vitória</t>
  </si>
  <si>
    <t>23.746.672/0001-46</t>
  </si>
  <si>
    <t>I3 BEV</t>
  </si>
  <si>
    <t>07NY</t>
  </si>
  <si>
    <t>Braga Motors</t>
  </si>
  <si>
    <t>11.634.677/0001-06</t>
  </si>
  <si>
    <t>I3 REX</t>
  </si>
  <si>
    <t>4/100000</t>
  </si>
  <si>
    <t>07N1</t>
  </si>
  <si>
    <t>Caltabiano - Pinheiros</t>
  </si>
  <si>
    <t>07.598.420/0001-60</t>
  </si>
  <si>
    <t>I8</t>
  </si>
  <si>
    <t>07N2</t>
  </si>
  <si>
    <t>Euro Import - Cascavel</t>
  </si>
  <si>
    <t>08.964.646/0002-81</t>
  </si>
  <si>
    <t>JCW</t>
  </si>
  <si>
    <t>4/120000</t>
  </si>
  <si>
    <t>07N4</t>
  </si>
  <si>
    <t>Euro Import - Joinville</t>
  </si>
  <si>
    <t>05.385.004/0005-82</t>
  </si>
  <si>
    <t>M2</t>
  </si>
  <si>
    <t>07N5</t>
  </si>
  <si>
    <t>Euro Import - Londrina</t>
  </si>
  <si>
    <t>08.964.646/0001-09</t>
  </si>
  <si>
    <t>M3</t>
  </si>
  <si>
    <t>5/60000</t>
  </si>
  <si>
    <t>07NW</t>
  </si>
  <si>
    <t xml:space="preserve">Euro Import - Marechal </t>
  </si>
  <si>
    <t>05.385.004/0002-30</t>
  </si>
  <si>
    <t>M4</t>
  </si>
  <si>
    <t>07NK</t>
  </si>
  <si>
    <t>Euro Import - Pres Arthur</t>
  </si>
  <si>
    <t>05.385.004/0001-59</t>
  </si>
  <si>
    <t>M5</t>
  </si>
  <si>
    <t>5/80000</t>
  </si>
  <si>
    <t>07N7</t>
  </si>
  <si>
    <t>Euro Motors</t>
  </si>
  <si>
    <t>22.617.332/0002-33</t>
  </si>
  <si>
    <t>M6</t>
  </si>
  <si>
    <t>07N8</t>
  </si>
  <si>
    <t>Eurobike - BSB</t>
  </si>
  <si>
    <t>24.209.277/0001-97</t>
  </si>
  <si>
    <t>M8</t>
  </si>
  <si>
    <t>5/100000</t>
  </si>
  <si>
    <t>07NH</t>
  </si>
  <si>
    <t>Eurobike - RP</t>
  </si>
  <si>
    <t>04.871.143/0001-20</t>
  </si>
  <si>
    <t>MINI</t>
  </si>
  <si>
    <t>07NA</t>
  </si>
  <si>
    <t>Euroville  - BH</t>
  </si>
  <si>
    <t>00.416.863/0001-44</t>
  </si>
  <si>
    <t>MINI BEV</t>
  </si>
  <si>
    <t>6/120000</t>
  </si>
  <si>
    <t>07UA</t>
  </si>
  <si>
    <t>00.416.863/0004-97</t>
  </si>
  <si>
    <t>X1</t>
  </si>
  <si>
    <t>07UB</t>
  </si>
  <si>
    <t>00.416.863/0007-30</t>
  </si>
  <si>
    <t>X2</t>
  </si>
  <si>
    <t>4/sem limite de km</t>
  </si>
  <si>
    <t>07UN</t>
  </si>
  <si>
    <t>Euroville - Juiz de Fora</t>
  </si>
  <si>
    <t>11.038.780/0001-85</t>
  </si>
  <si>
    <t>X3</t>
  </si>
  <si>
    <t>07UP</t>
  </si>
  <si>
    <t>Euroville - Uberlândia</t>
  </si>
  <si>
    <t>00.416.863/0005-78</t>
  </si>
  <si>
    <t>X3M</t>
  </si>
  <si>
    <t>6/sem limite de km</t>
  </si>
  <si>
    <t>07UQ</t>
  </si>
  <si>
    <t>Galaxie Motors - Cuiabá</t>
  </si>
  <si>
    <t>11.510.710/0001-88</t>
  </si>
  <si>
    <t>X4</t>
  </si>
  <si>
    <t>07UR</t>
  </si>
  <si>
    <t>Germânica - Campinas</t>
  </si>
  <si>
    <t>18.116.436/0003-78</t>
  </si>
  <si>
    <t>X4M</t>
  </si>
  <si>
    <t>Germânica - Piracicaba</t>
  </si>
  <si>
    <t>18.116.436/0002-97</t>
  </si>
  <si>
    <t>X5</t>
  </si>
  <si>
    <t>Germânica - Sorocaba</t>
  </si>
  <si>
    <t>18.116.436/0001-06</t>
  </si>
  <si>
    <t>X5M</t>
  </si>
  <si>
    <t>Grand Brasil - Alpha</t>
  </si>
  <si>
    <t>01.291.387/0005-79</t>
  </si>
  <si>
    <t>X6</t>
  </si>
  <si>
    <t>Grand Brasil - Gastão</t>
  </si>
  <si>
    <t>01.291.387/0006-50</t>
  </si>
  <si>
    <t>X6M</t>
  </si>
  <si>
    <t>Haus - Fortaleza</t>
  </si>
  <si>
    <t>19.318.040/0002-95</t>
  </si>
  <si>
    <t>Z4</t>
  </si>
  <si>
    <t>Haus - Salvador</t>
  </si>
  <si>
    <t>19.318.040/0001-04</t>
  </si>
  <si>
    <t>i4</t>
  </si>
  <si>
    <t>Haus - Maceió</t>
  </si>
  <si>
    <t>19.318.040/0003-76</t>
  </si>
  <si>
    <t>iX</t>
  </si>
  <si>
    <t>Iesa - Caxias do Sul</t>
  </si>
  <si>
    <t>20.491.112/0001-08</t>
  </si>
  <si>
    <t xml:space="preserve">iX3 </t>
  </si>
  <si>
    <t>Iesa - Novo Hamburgo</t>
  </si>
  <si>
    <t>20.491.112/0003-61</t>
  </si>
  <si>
    <t>Iesa - Passo fundo</t>
  </si>
  <si>
    <t>20.491.112/0006-04</t>
  </si>
  <si>
    <t>Iesa - Porto Alegre</t>
  </si>
  <si>
    <t>20.491.112/0004-42</t>
  </si>
  <si>
    <t>Isar Motors</t>
  </si>
  <si>
    <t>20.813.800/0001-39</t>
  </si>
  <si>
    <t>MBI - Campinas</t>
  </si>
  <si>
    <t>72.912.934/0001-00</t>
  </si>
  <si>
    <t>72.912.934/0002-91</t>
  </si>
  <si>
    <t>Munique Motors - Porto Velho</t>
  </si>
  <si>
    <t>14.531.527/0003-19</t>
  </si>
  <si>
    <t>Osten - Barra Funda</t>
  </si>
  <si>
    <t>04.625.102/0005-87</t>
  </si>
  <si>
    <t>Osten - Santos</t>
  </si>
  <si>
    <t>04.625.102/0008-20</t>
  </si>
  <si>
    <t>Osten - SJC</t>
  </si>
  <si>
    <t>04.625.102/0006-68</t>
  </si>
  <si>
    <t>Osten - Sumaré</t>
  </si>
  <si>
    <t>04.625.102/0004-04</t>
  </si>
  <si>
    <t>Osten - Tatuapé</t>
  </si>
  <si>
    <t>04.625.102/0001-53</t>
  </si>
  <si>
    <t>PG Prime - João Pessoa</t>
  </si>
  <si>
    <t>07.083.712/0014-85</t>
  </si>
  <si>
    <t>PG Prime - Natal</t>
  </si>
  <si>
    <t>07.083.712/0016-47</t>
  </si>
  <si>
    <t>Raviera - Belem</t>
  </si>
  <si>
    <t>19.314.847/0002-50</t>
  </si>
  <si>
    <t>Raviera - Campo Grande</t>
  </si>
  <si>
    <t>19.314.847/0001-79</t>
  </si>
  <si>
    <t>Raviera - Dourados</t>
  </si>
  <si>
    <t>19.314.847/0005-00</t>
  </si>
  <si>
    <t>Sael - Recife</t>
  </si>
  <si>
    <t>09.470.230/0005-12</t>
  </si>
  <si>
    <t>Saga - Berlim</t>
  </si>
  <si>
    <t>34.758.324/0001-05</t>
  </si>
  <si>
    <t>Saga - Goiânia</t>
  </si>
  <si>
    <t>20.374.616/0001-30</t>
  </si>
  <si>
    <t>Top Car - Blumenau</t>
  </si>
  <si>
    <t>02.507.162/0001-46</t>
  </si>
  <si>
    <t>02.507.162/0005-70</t>
  </si>
  <si>
    <t>Top Car - Florianópolis</t>
  </si>
  <si>
    <t>02.507.162/0003-08</t>
  </si>
  <si>
    <t>02.507.162/0006-50</t>
  </si>
  <si>
    <t>68.976.091/0005-62</t>
  </si>
  <si>
    <t>68976091000562 </t>
  </si>
  <si>
    <t>Haus -  Maceió</t>
  </si>
  <si>
    <t>Autokraft - Botafogo</t>
  </si>
  <si>
    <t>42.307.884/0004-14</t>
  </si>
  <si>
    <t>08.931.827/0001-20</t>
  </si>
  <si>
    <t>16.707.863/0002-14</t>
  </si>
  <si>
    <t>16.707.863/0001-33</t>
  </si>
  <si>
    <t>Grand Brasil - Clodomiro</t>
  </si>
  <si>
    <t>01.291.387/0008-11</t>
  </si>
  <si>
    <t>Munique Motors - Cuiabá</t>
  </si>
  <si>
    <t>14.531.527/0001-57</t>
  </si>
  <si>
    <t>04.625.102/0002-34</t>
  </si>
  <si>
    <t>Power Motors - Santos</t>
  </si>
  <si>
    <t>13.280.069/0002-49</t>
  </si>
  <si>
    <t>Power Motors - Tatuapé</t>
  </si>
  <si>
    <t>13.280.069/0001-68</t>
  </si>
  <si>
    <t>20.374.616/0002-10</t>
  </si>
  <si>
    <t>Star News - Curitiba</t>
  </si>
  <si>
    <t>00.082.772/0001-10</t>
  </si>
  <si>
    <t>Osten</t>
  </si>
  <si>
    <t>04.625.102/0003-15</t>
  </si>
  <si>
    <t>Top Car - Chapecó</t>
  </si>
  <si>
    <t>02.507.162/0015-41</t>
  </si>
  <si>
    <t>Top Car - Balneário</t>
  </si>
  <si>
    <t>02.507.162.0016-22</t>
  </si>
  <si>
    <t>Top Car - Criciúma</t>
  </si>
  <si>
    <t>02.507.162/0013-80</t>
  </si>
  <si>
    <t>CHAVE b/c/e/f</t>
  </si>
  <si>
    <t>Modelo</t>
  </si>
  <si>
    <t>Valor</t>
  </si>
  <si>
    <t>3/40</t>
  </si>
  <si>
    <t>3/60</t>
  </si>
  <si>
    <t>3/100</t>
  </si>
  <si>
    <t>4/60</t>
  </si>
  <si>
    <t>4/80</t>
  </si>
  <si>
    <t>4/100</t>
  </si>
  <si>
    <t>4/120</t>
  </si>
  <si>
    <t>5/60</t>
  </si>
  <si>
    <t>5/80</t>
  </si>
  <si>
    <t>5/100</t>
  </si>
  <si>
    <t>6/120</t>
  </si>
  <si>
    <t>4/sem limite de quilometragem</t>
  </si>
  <si>
    <t>6/sem limite de quilometragem</t>
  </si>
  <si>
    <t>3 anos</t>
  </si>
  <si>
    <t>4 anos</t>
  </si>
  <si>
    <t>5 anos</t>
  </si>
  <si>
    <t>6 anos</t>
  </si>
  <si>
    <t>tres</t>
  </si>
  <si>
    <t>quatro</t>
  </si>
  <si>
    <t>cinco</t>
  </si>
  <si>
    <t>seis</t>
  </si>
  <si>
    <t>validação de dados</t>
  </si>
  <si>
    <t>VALIDIÇÃO 1</t>
  </si>
  <si>
    <t>VALIDAÇÃO 2</t>
  </si>
  <si>
    <t>VALIDAÇÃO 3</t>
  </si>
  <si>
    <t>preço</t>
  </si>
  <si>
    <t>Código Pacote</t>
  </si>
  <si>
    <t>Diferença</t>
  </si>
  <si>
    <t>DATA DE INÍCIO DA GARANTIA</t>
  </si>
  <si>
    <t>PACOTE CONTRATADO (ANOS)</t>
  </si>
  <si>
    <t>Dados pacote anterior</t>
  </si>
  <si>
    <t>PACOTE ANTERIOR (ANOS)</t>
  </si>
  <si>
    <t>PACOTE ANTERIOR (KM)</t>
  </si>
  <si>
    <t>TIPO DE PACOTE ANTERIOR</t>
  </si>
  <si>
    <t>NOME COMPLETO  OU RAZÃO SOCIAL DO CLIENTE</t>
  </si>
  <si>
    <t>CPF OU CNPJ DO CLIENTE</t>
  </si>
  <si>
    <t>NOME DO VENDEDOR / CONSULTOR</t>
  </si>
  <si>
    <t xml:space="preserve">CÓDIGO DO CONCESSIONÁRIO OU CNPJ </t>
  </si>
  <si>
    <t>ATIVAÇÃO URGENTE?</t>
  </si>
  <si>
    <t>EXTENSÃO OU UPGRADE?</t>
  </si>
  <si>
    <t>PACOTE FINANCIADO PELO SF BMW?</t>
  </si>
  <si>
    <t>1º  - DADOS DO DEALER</t>
  </si>
  <si>
    <t>2º - DADOS DO VEÍCULO E DO CLIENTE</t>
  </si>
  <si>
    <t>3º - DADOS DO PACOTE VENDIDO</t>
  </si>
  <si>
    <t>CÓDIGO DO CONCESSIONÁRIO</t>
  </si>
  <si>
    <t>NOME DO CONCESSIONÁRIO</t>
  </si>
  <si>
    <t>CNPJ DO CONCESSIONÁRIO</t>
  </si>
  <si>
    <t>VALOR A PAGAR</t>
  </si>
  <si>
    <t>DATA DE VALIDADE DO PACOTE</t>
  </si>
  <si>
    <t>VALIDADE DO PACOTE EM KM</t>
  </si>
  <si>
    <t>CÓDIGO DO PACOTE</t>
  </si>
  <si>
    <t>DATA DA VENDA DO PACOTE</t>
  </si>
  <si>
    <t>LGPD - sistema Elaine</t>
  </si>
  <si>
    <t>avaliar ano e modelo no próximo termo de adesão</t>
  </si>
  <si>
    <t>id</t>
  </si>
  <si>
    <t>descrição</t>
  </si>
  <si>
    <t>cpf ou cnpj do cliente  e incluir campo</t>
  </si>
  <si>
    <t>ajustar assunto do e-mail padrão BMW</t>
  </si>
  <si>
    <t>Botão Imprimir após definição do template do termo</t>
  </si>
  <si>
    <t>Manual de usuário - guia operacional</t>
  </si>
  <si>
    <t>Termo de adesão vinculado ao tipo de contrato
standard 
plus 
BEV
vinculo com tipo do pacote e modelo do veículo</t>
  </si>
  <si>
    <t>Notas nos campos para dúvidas do dealer</t>
  </si>
  <si>
    <t>Avaliar msg de erros</t>
  </si>
  <si>
    <t>Limitador de escolha veíuclos BEV</t>
  </si>
  <si>
    <t>Campo data respeitar somente este formato data e km  devolver msg de erro</t>
  </si>
  <si>
    <t>Descrição</t>
  </si>
  <si>
    <t>Dado</t>
  </si>
  <si>
    <t xml:space="preserve">
certificar-se do registro do termo de adesão (msg para usuario?)</t>
  </si>
  <si>
    <t>LImpar Registro - programar</t>
  </si>
  <si>
    <t>programar texto do corpo do email</t>
  </si>
  <si>
    <t>Resposta</t>
  </si>
  <si>
    <t>aba robot com dados que irão popular a planilha que sobe no Tableau</t>
  </si>
  <si>
    <t>KM ATUAL</t>
  </si>
  <si>
    <t>Euto Motors - Jundiaí</t>
  </si>
  <si>
    <t>Euro Motors – SJRP</t>
  </si>
  <si>
    <t>42.497.443/0001-80</t>
  </si>
  <si>
    <t xml:space="preserve">TERMOS E CONDIÇÕES DO PROGRAMA </t>
  </si>
  <si>
    <t>BMW SERVICE INCLUSIVE</t>
  </si>
  <si>
    <t>Denominação completa:</t>
  </si>
  <si>
    <t>CNPJ / ME:</t>
  </si>
  <si>
    <t xml:space="preserve">A CONCESSIONÁRIA ou o PARCEIRO DE SERVIÇOS, qualificados neste instrumento </t>
  </si>
  <si>
    <t>(“Concessionária”/“Parceiro de Serviços”):</t>
  </si>
  <si>
    <t>e</t>
  </si>
  <si>
    <t>o CLIENTE, qualificado neste instrumento (“Cliente”):</t>
  </si>
  <si>
    <t>CPF/ME ou CNPJ/ME:</t>
  </si>
  <si>
    <t>Ao assinar estes Termos e Condições, o Cliente obriga-se a pagar à Concessionária ou ao Parceiro</t>
  </si>
  <si>
    <t>Modelo:</t>
  </si>
  <si>
    <t>Ano/Modelo:</t>
  </si>
  <si>
    <t>VIN:</t>
  </si>
  <si>
    <t>O Cliente está ciente e concorda que a Concessionária/Parceiro de Serviços está assinando este</t>
  </si>
  <si>
    <t>documento e cobrando o preço em nome e em favor da BMW do Brasil Ltda. (“BMW Brasil”), que é</t>
  </si>
  <si>
    <t>km, o que ocorrer primeiro.</t>
  </si>
  <si>
    <t>Após o término do prazo em anos ou quilometragem (o que for alcançado primeiro), o direito aos</t>
  </si>
  <si>
    <t>Declaro que estou totalmente ciente do teor destes Termos e Condições, inclusive do Anexo 1, dos</t>
  </si>
  <si>
    <t>quais recebi uma cópia. Li, entendi e concordo com todas as condições estabelecidas em tais</t>
  </si>
  <si>
    <t>documentos.</t>
  </si>
  <si>
    <t>Data:</t>
  </si>
  <si>
    <t>Assinatura do Cliente</t>
  </si>
  <si>
    <t>Carimbo da Concessionária/Parceiro de Serviços</t>
  </si>
  <si>
    <t>(em nome e em favor da BMW do Brasil Ltda.)</t>
  </si>
  <si>
    <t>Estes “Termos e Condições do Programa BMW Service Inclusive”, incluindo o Anexo 1 (“Termos</t>
  </si>
  <si>
    <t>celebrados entre:</t>
  </si>
  <si>
    <t>e Condições”), regem o Plano Padrão do BMW Service Inclusive (“Plano Padrão BSI”) e são</t>
  </si>
  <si>
    <t xml:space="preserve"> máxima de</t>
  </si>
  <si>
    <t>ANEXO I</t>
  </si>
  <si>
    <t>óleo utilizados para prestar os serviços):</t>
  </si>
  <si>
    <t xml:space="preserve"> ou até que o veículo atinja a quilometragem</t>
  </si>
  <si>
    <t>1. Troca do óleo do motor, inclusive filtro de óleo e recargas.</t>
  </si>
  <si>
    <t>2. Serviço/Troca do fluido de freio.</t>
  </si>
  <si>
    <t>3. Inspeção do veículo de acordo com os padrões da BMW.</t>
  </si>
  <si>
    <t xml:space="preserve">4. Serviço/Troca do filtro de ar do motor, filtro de combustível (veículos ActiveFlex), microfiltro do </t>
  </si>
  <si>
    <t>ar-condicionado, velas de ignição.</t>
  </si>
  <si>
    <t>2. DIREITO DE USAR OS SERVIÇOS INCLUÍDOS NO PLANO PADRÃO BSI</t>
  </si>
  <si>
    <t>2.1. Serviços descritos acima</t>
  </si>
  <si>
    <t>Os serviços descritos nos itens 1 a 4 acima apenas poderão ser solicitados pelo cliente quando a</t>
  </si>
  <si>
    <t>exigência do serviço for indicada no painel central do veículo BMW pelo sistema CBS (status do</t>
  </si>
  <si>
    <t>CBS: luz amarela ou vermelha).</t>
  </si>
  <si>
    <t>Durante o prazo válido destes Termos e Condições, o Cliente poderá solicitar que qualquer</t>
  </si>
  <si>
    <t>concessionária ou parceiro de serviços autorizado do Grupo BMW, estabelecido em qualquer local</t>
  </si>
  <si>
    <t>do mundo, preste os serviços segundo o Plano Padrão BSI.</t>
  </si>
  <si>
    <t>3. PERDA DO DIREITO DE USAR O PLANO PADRÃO BSI</t>
  </si>
  <si>
    <t>O Cliente reconhece e aceita que o Plano Padrão BSI será automaticamente cancelado caso o</t>
  </si>
  <si>
    <t>Cliente viole os termos e condições do Termo de Garantia do veículo. Por esse motivo, a BMW</t>
  </si>
  <si>
    <t>Brasil aconselha o Cliente a ler cuidadosamente o referido Termo de Garantia.</t>
  </si>
  <si>
    <t>O Plano Padrão BSI será aplicável exclusivamente às peças originais do Grupo BMW,</t>
  </si>
  <si>
    <t>aos componentes não comprometidos por alterações técnicas que não resultem de</t>
  </si>
  <si>
    <t>nenhum ato e/ou omissão da BMW Brasil, inclusive, entre outros, reivindicações, ajustes e serviços</t>
  </si>
  <si>
    <t>por terceiros não autorizados. Nenhum dano causado às peças ou aos componentes devido a</t>
  </si>
  <si>
    <t>essas alterações técnicas será coberto pelo Plano Padrão BSI.</t>
  </si>
  <si>
    <t>4. DISPOSIÇÕES FINAIS</t>
  </si>
  <si>
    <t>O Plano Padrão BSI não poderá ser transferido para outro veículo, pois está vinculado ao número do</t>
  </si>
  <si>
    <t>chassi. Portanto, no caso de venda do veículo, o Plano Padrão BSI será automaticamente</t>
  </si>
  <si>
    <t>transferido para o próximo proprietário, sujeito às condições estabelecidas nestes Termos e</t>
  </si>
  <si>
    <t xml:space="preserve"> Condições.</t>
  </si>
  <si>
    <t>O Plano Padrão BSI compreende o seguinte escopo de trabalho (inclusive peças originais BMW e</t>
  </si>
  <si>
    <t xml:space="preserve">de Serviços o valor de  </t>
  </si>
  <si>
    <t>a empresa responsável pelo Programa BSI e pelo Plano Padrão BSI. A BMW Brasil, a seu exclusivo critério,</t>
  </si>
  <si>
    <t>terá o direito de contratar terceiros para prestar os serviços no âmbito do Programa BSI e Plano Padrão BSI.</t>
  </si>
  <si>
    <t>O Plano Padrão BSI será válido até</t>
  </si>
  <si>
    <t>serviços do Plano Padrão BSI se encerrará. O Cliente tem a opção de prorrogar o prazo e/ou a</t>
  </si>
  <si>
    <t>quilometragem do plano contratando um novo.</t>
  </si>
  <si>
    <t xml:space="preserve">  para adquirir o Programa BSI / Plano Padrão BSI</t>
  </si>
  <si>
    <t>com relação ao veículo abaixo descrito:</t>
  </si>
  <si>
    <t>corrigir fórmula de Validade do pacote em km</t>
  </si>
  <si>
    <t>KM INICIAL DO PACOTE ANTERIOR</t>
  </si>
  <si>
    <t>CLASSIFICAÇÃO</t>
  </si>
  <si>
    <t>TIPO</t>
  </si>
  <si>
    <t>novo</t>
  </si>
  <si>
    <t>venda</t>
  </si>
  <si>
    <t>ext/upgrade</t>
  </si>
  <si>
    <t>MARCA</t>
  </si>
  <si>
    <t>BMW</t>
  </si>
  <si>
    <t>usado</t>
  </si>
  <si>
    <t>BMW SERVICE INCLUSIVE PLUS</t>
  </si>
  <si>
    <t>e Condições”), regem o Plano Plus do BMW Service Inclusive (“Plano Plus BSI”) e são</t>
  </si>
  <si>
    <t xml:space="preserve">  para adquirir o Programa BSI, especificamente o Plano</t>
  </si>
  <si>
    <t xml:space="preserve"> Plus BSI, com relação ao veículo abaixo descrito:</t>
  </si>
  <si>
    <t>a empresa responsável pelo Programa BSI e pelo Plano Plus BSI. A BMW Brasil, a seu exclusivo critério,</t>
  </si>
  <si>
    <t>terá o direito de contratar terceiros para prestar os serviços no âmbito do Programa BSI e Plano Plus BSI.</t>
  </si>
  <si>
    <t>O Plano Plus BSI será válido até</t>
  </si>
  <si>
    <t>serviços do Plano Plus BSI se encerrará. O Cliente tem a opção de prorrogar o prazo e/ou a</t>
  </si>
  <si>
    <t>quilometragem do Plano Plus BSI contratando um novo.</t>
  </si>
  <si>
    <t>1. ÂMBITO DO PLANO PLUS BSI</t>
  </si>
  <si>
    <t>1. ÂMBITO DO PLANO PADRÃO BSI</t>
  </si>
  <si>
    <t>O Plano Plus BSI compreende o seguinte escopo de trabalho (inclusive peças originais BMW e</t>
  </si>
  <si>
    <t>5. Substituição das pastilhas de freio dianteiras e traseiras.</t>
  </si>
  <si>
    <t>6. Substituição dos discos de freio dianteiros e traseiros.</t>
  </si>
  <si>
    <t>7. Substituição da embreagem (em caso de desgaste).</t>
  </si>
  <si>
    <t>8. Substituição das palhetas do limpador de para-brisas (uma vez ao ano).</t>
  </si>
  <si>
    <t>transferido para o próximo proprietário, sujeito às condições estabelecidas nestes Termos e Condições.</t>
  </si>
  <si>
    <t>2. DIREITO DE USAR OS SERVIÇOS INCLUÍDOS NO PLANO PLUS BSI</t>
  </si>
  <si>
    <t>Os serviços descritos nos itens 1 a 8 acima apenas poderão ser solicitados pelo cliente quando a</t>
  </si>
  <si>
    <t>do mundo, preste os serviços segundo o Plano Plus BSI.</t>
  </si>
  <si>
    <t>3. PERDA DO DIREITO DE USAR O PLANO PLUS BSI</t>
  </si>
  <si>
    <t>O Cliente reconhece e aceita que o Plano Plus BSI será automaticamente cancelado caso o</t>
  </si>
  <si>
    <t>O Plano Plus BSI será aplicável exclusivamente às peças originais do Grupo BMW,</t>
  </si>
  <si>
    <t>essas alterações técnicas será coberto pelo Plano Plus BSI.</t>
  </si>
  <si>
    <t>O Plano Plus BSI não poderá ser transferido para outro veículo, pois está vinculado ao número do</t>
  </si>
  <si>
    <t>chassi. Portanto, no caso de venda do veículo, o Plano Plus BSI será automaticamente</t>
  </si>
  <si>
    <t>MINI SERVICE INCLUSIVE PLUS</t>
  </si>
  <si>
    <t>Estes “Termos e Condições do Programa MINI Service Inclusive”, incluindo o Anexo 1 (“Termos</t>
  </si>
  <si>
    <t>e Condições”), regem o Plano Plus do BMW Service Inclusive (“Plano Plus MSI”) e são</t>
  </si>
  <si>
    <t xml:space="preserve">  para adquirir o Programa MSI, especificamente o Plano</t>
  </si>
  <si>
    <t xml:space="preserve"> Plus MSI, com relação ao veículo abaixo descrito:</t>
  </si>
  <si>
    <t>a empresa responsável pelo Programa MSI e pelo Plano Plus MSI. A BMW Brasil, a seu exclusivo critério,</t>
  </si>
  <si>
    <t>O Plano Plus MSI será válido até</t>
  </si>
  <si>
    <t>serviços do Plano Plus MSI se encerrará. O Cliente tem a opção de prorrogar o prazo e/ou a</t>
  </si>
  <si>
    <t>quilometragem do Plano Plus MSI contratando um novo.</t>
  </si>
  <si>
    <t>1. ÂMBITO DO PLANO PLUS MSI</t>
  </si>
  <si>
    <t>O Plano Plus MSI compreende o seguinte escopo de trabalho (inclusive peças originais BMW e</t>
  </si>
  <si>
    <t>do mundo, preste os serviços segundo o Plano Plus MSI.</t>
  </si>
  <si>
    <t>3. PERDA DO DIREITO DE USAR O PLANO PLUS MSI</t>
  </si>
  <si>
    <t>O Cliente reconhece e aceita que o Plano Plus MSI será automaticamente cancelado caso o</t>
  </si>
  <si>
    <t>O Plano Plus MSI será aplicável exclusivamente às peças originais do Grupo BMW,</t>
  </si>
  <si>
    <t>essas alterações técnicas será coberto pelo Plano Plus MSI.</t>
  </si>
  <si>
    <t>O Plano Plus MSI não poderá ser transferido para outro veículo, pois está vinculado ao número do</t>
  </si>
  <si>
    <t>chassi. Portanto, no caso de venda do veículo, o Plano Plus MSI será automaticamente</t>
  </si>
  <si>
    <t>MINI SERVICE INCLUSIVE</t>
  </si>
  <si>
    <t>e Condições”), regem o Plano Padrão do BMW Service Inclusive (“Plano Padrão MSI”) e são</t>
  </si>
  <si>
    <t xml:space="preserve"> Padrão MSI, com relação ao veículo abaixo descrito:</t>
  </si>
  <si>
    <t>a empresa responsável pelo Programa MSI e pelo Plano Padrão MSI. A BMW Brasil, a seu exclusivo critério,</t>
  </si>
  <si>
    <t>terá o direito de contratar terceiros para prestar os serviços no âmbito do Programa MSI e Plano Padrão MSI.</t>
  </si>
  <si>
    <t>O Plano Padrão MSI será válido até</t>
  </si>
  <si>
    <t>serviços do Plano Padrão MSI se encerrará. O Cliente tem a opção de prorrogar o prazo do Plano</t>
  </si>
  <si>
    <t>Padrão MSI contratando um novo.</t>
  </si>
  <si>
    <t>1. ÂMBITO DO PLANO PADRÃO MSI</t>
  </si>
  <si>
    <t>O Plano Padrão MSI compreende o seguinte escopo de trabalho (inclusive peças originais BMW e</t>
  </si>
  <si>
    <t>2. DIREITO DE USAR OS SERVIÇOS INCLUÍDOS NO PLANO PADRÃO MSI</t>
  </si>
  <si>
    <t>exigência do serviço for indicada no painel central do veículo pelo sistema CBS (status do</t>
  </si>
  <si>
    <t>do mundo, preste os serviços segundo o Plano Padrão MSI.</t>
  </si>
  <si>
    <t>3. PERDA DO DIREITO DE USAR O PLANO PADRÃO MSI</t>
  </si>
  <si>
    <t>O Cliente reconhece e aceita que o Plano Padrão MSI será automaticamente cancelado caso o</t>
  </si>
  <si>
    <t>O Plano Padrão MSI será aplicável exclusivamente às peças originais do Grupo BMW,</t>
  </si>
  <si>
    <t>essas alterações técnicas será coberto pelo Plano Padrão MSI.</t>
  </si>
  <si>
    <t>O Plano Padrão MSI não poderá ser transferido para outro veículo, pois está vinculado ao número do</t>
  </si>
  <si>
    <t>chassi. Portanto, no caso de venda do veículo, o Plano Padrão MSI será automaticamente</t>
  </si>
  <si>
    <t>Condições.</t>
  </si>
  <si>
    <t>CONDIÇÃO</t>
  </si>
  <si>
    <t>STD</t>
  </si>
  <si>
    <t>STATUS/OBS</t>
  </si>
  <si>
    <t>FORMULÁRIO DE VENDA SERVICE INCLUSIVE</t>
  </si>
  <si>
    <t>INSTRUÇÕES</t>
  </si>
  <si>
    <t>3 - Algumas células são caixas de seleção e as informações estão pré-definidas, basta selecionar uma opção.</t>
  </si>
  <si>
    <t>4 - É obrigatório o preenchimento de todos os campos.</t>
  </si>
  <si>
    <t>1 - Para cada pacote vendido deverá ser preenchido um formulário, portanto use um formulário por chassi.</t>
  </si>
  <si>
    <t>O Formulário de venda do Service inclusive é um documento suporte indispensável para registro dos pacotes, extensões e upgrades. 
É primordial o preenchimento com TOTAL ATENÇÃO.</t>
  </si>
  <si>
    <t>7 - Anexe ao e-mail a cópia do Key Reader ou nota fiscal do veículo.</t>
  </si>
  <si>
    <t>8 - Anexe ao e-mail a cópia do Termo de adesão assinado e carimbado. Envie o e-mail.</t>
  </si>
  <si>
    <t>10 - Em caso de dúvidas, envie e-mail para</t>
  </si>
  <si>
    <r>
      <t xml:space="preserve">2 - Tanto para a primeira contratação do Service Inclusive quanto para extensão ou upgrades, usar a </t>
    </r>
    <r>
      <rPr>
        <b/>
        <u/>
        <sz val="14"/>
        <color theme="1"/>
        <rFont val="BMW Group Condensed"/>
        <family val="2"/>
      </rPr>
      <t>Máscara de Venda</t>
    </r>
    <r>
      <rPr>
        <sz val="14"/>
        <color theme="1"/>
        <rFont val="BMW Group Condensed"/>
        <family val="2"/>
      </rPr>
      <t>.</t>
    </r>
  </si>
  <si>
    <r>
      <t xml:space="preserve">5 - Após preenchimento da Máscara, clique no botão </t>
    </r>
    <r>
      <rPr>
        <b/>
        <u/>
        <sz val="14"/>
        <color theme="1"/>
        <rFont val="BMW Group Condensed"/>
        <family val="2"/>
      </rPr>
      <t>Imprimir Termo de adesão</t>
    </r>
    <r>
      <rPr>
        <sz val="14"/>
        <color theme="1"/>
        <rFont val="BMW Group Condensed"/>
        <family val="2"/>
      </rPr>
      <t>. Colete a assinatura do cliente e o carimbo da loja.</t>
    </r>
  </si>
  <si>
    <r>
      <t xml:space="preserve">6 - Clique no botão </t>
    </r>
    <r>
      <rPr>
        <b/>
        <u/>
        <sz val="14"/>
        <color theme="1"/>
        <rFont val="BMW Group Condensed"/>
        <family val="2"/>
      </rPr>
      <t>Gerar e-mail para envio</t>
    </r>
    <r>
      <rPr>
        <sz val="14"/>
        <color theme="1"/>
        <rFont val="BMW Group Condensed"/>
        <family val="2"/>
      </rPr>
      <t>. O formulário é anexado automaticamente. O preenchimento do e-mail também é automático.</t>
    </r>
  </si>
  <si>
    <r>
      <t xml:space="preserve">9 - Para iniciar o preenchimento de outra venda na Máscara, limpe o formulário clicando no botão </t>
    </r>
    <r>
      <rPr>
        <b/>
        <u/>
        <sz val="14"/>
        <color theme="1"/>
        <rFont val="BMW Group Condensed"/>
        <family val="2"/>
      </rPr>
      <t>Limpar Registro</t>
    </r>
    <r>
      <rPr>
        <sz val="14"/>
        <color theme="1"/>
        <rFont val="BMW Group Condensed"/>
        <family val="2"/>
      </rPr>
      <t>.</t>
    </r>
  </si>
  <si>
    <t>padrão "não" para preenchimento de extensão/upgrade</t>
  </si>
  <si>
    <t>aba para transcrição manual de dados</t>
  </si>
  <si>
    <t>atualizar termos de adesão conforme novo texto - Elaine irá fornecer</t>
  </si>
  <si>
    <t>acertar leitura do código do pacote = código é o vendido, mesmo para ext/upgrade</t>
  </si>
  <si>
    <t>PAGO EM ND</t>
  </si>
  <si>
    <t>VALIDAÇÃO</t>
  </si>
  <si>
    <t>ATIVADO</t>
  </si>
  <si>
    <t>(sem limite de km)</t>
  </si>
  <si>
    <t>4/(sem limite de km)</t>
  </si>
  <si>
    <t>6/(sem limite de km)</t>
  </si>
  <si>
    <t>ANO/MODELO</t>
  </si>
  <si>
    <t xml:space="preserve">Estes “Termos e Condições do Programa BMW Service Inclusive”, incluindo o Anexo 1 </t>
  </si>
  <si>
    <t>Padrão BSI”) e são celebrados entre:</t>
  </si>
  <si>
    <t>Ao assinar estes Termos e Condições, o Cliente obriga-se a pagar à Concessionária</t>
  </si>
  <si>
    <t xml:space="preserve">ou ao Parceiro de Serviços o valor de  </t>
  </si>
  <si>
    <t xml:space="preserve">O Cliente está ciente e concorda que a Concessionária/Parceiro de Serviços está </t>
  </si>
  <si>
    <t>assinando este documento e cobrando o preço em nome e em favor da BMW do Brasil</t>
  </si>
  <si>
    <t>Ltda. (“BMW Brasil”), que é a empresa responsável pelo Programa BSI e pelo Plano</t>
  </si>
  <si>
    <t>Padrão BSI. A BMW Brasil, a seu exclusivo critério, terá o direito de contratar terceiros</t>
  </si>
  <si>
    <t>para prestar os serviços no âmbito do Programa BSI e Plano Padrão BSI.</t>
  </si>
  <si>
    <t xml:space="preserve"> ou até que o veículo atinja a</t>
  </si>
  <si>
    <t>quilometragem máxima de</t>
  </si>
  <si>
    <t>Após o término do prazo em anos ou quilometragem (o que for alcançado primeiro), o</t>
  </si>
  <si>
    <t>direito aos serviços do Plano Padrão BSI se encerrará. O Cliente tem a opção de</t>
  </si>
  <si>
    <t>prorrogar o prazo e/ou a quilometragem do plano contratando um novo.</t>
  </si>
  <si>
    <t>Declaro que estou totalmente ciente do teor destes Termos e Condições, inclusive do</t>
  </si>
  <si>
    <t>Anexo 1, dos quais recebi uma cópia. Li, entendi e concordo com todas as condições</t>
  </si>
  <si>
    <t>estabelecidas em tais documentos.</t>
  </si>
  <si>
    <t>O Plano Padrão BSI compreende o seguinte escopo de trabalho (inclusive peças</t>
  </si>
  <si>
    <t>4. Serviço/Troca do filtro de ar do motor, filtro de combustível (veículos ActiveFlex),</t>
  </si>
  <si>
    <t>microfiltro do ar-condicionado, velas de ignição.</t>
  </si>
  <si>
    <t>Os serviços descritos nos itens 1 a 4 acima apenas poderão ser solicitados pelo</t>
  </si>
  <si>
    <t>cliente quando a exigência do serviço for indicada no painel central do veículo</t>
  </si>
  <si>
    <t>BMW pelo sistema CBS (status do CBS: luz amarela ou vermelha).</t>
  </si>
  <si>
    <t>estabelecido em qualquer local do mundo, preste os serviços segundo o Plano</t>
  </si>
  <si>
    <t>Padrão BSI.</t>
  </si>
  <si>
    <t>O Cliente reconhece e aceita que o Plano Padrão BSI será automaticamente</t>
  </si>
  <si>
    <t>cancelado caso o Cliente viole os termos e condições do Termo de Garantia do</t>
  </si>
  <si>
    <t>O Plano Padrão BSI será aplicável exclusivamente às peças originais do Grupo</t>
  </si>
  <si>
    <t>BMW, aos componentes não comprometidos por alterações técnicas que não</t>
  </si>
  <si>
    <t>reivindicações, ajustes e serviços por terceiros não autorizados. Nenhum dano</t>
  </si>
  <si>
    <t>causado às peças ou aos componentes devido a essas alterações técnicas será</t>
  </si>
  <si>
    <t>coberto pelo Plano Padrão BSI.</t>
  </si>
  <si>
    <t>O Plano Padrão BSI não poderá ser transferido para outro veículo, pois está</t>
  </si>
  <si>
    <t>Padrão BSI será automaticamente transferido para o próximo proprietário, sujeito</t>
  </si>
  <si>
    <t>às condições estabelecidas nestes Termos e Condições.</t>
  </si>
  <si>
    <t>Durante o prazo válido destes Termos e Condições, o Cliente poderá solicitar</t>
  </si>
  <si>
    <t>que qualquer concessionária ou parceiro de serviços autorizado do Grupo BMW,</t>
  </si>
  <si>
    <t>(“Termos e Condições”), regem o Plano Padrão do BMW Service Inclusive (“Plano</t>
  </si>
  <si>
    <t>vinculado ao número do chassi. Portanto, no caso de venda do veículo, o Plano</t>
  </si>
  <si>
    <t>(“Termos e Condições”), regem o Plano Plus do BMW Service Inclusive (“Plano</t>
  </si>
  <si>
    <t>Plus BSI”) e são celebrados entre:</t>
  </si>
  <si>
    <t>especificamente o Plano Plus BSI, com relação ao veículo abaixo descrito:</t>
  </si>
  <si>
    <t>Plano Padrão BSI, com relação ao veículo abaixo descrito:</t>
  </si>
  <si>
    <t>Plus BSI. A BMW Brasil, a seu exclusivo critério, terá o direito de contratar terceiros</t>
  </si>
  <si>
    <t>para prestar os serviços no âmbito do Programa BSI e Plano Plus BSI.</t>
  </si>
  <si>
    <t>direito aos serviços do Plano Plus BSI se encerrará. O Cliente tem a opção de</t>
  </si>
  <si>
    <t>O Plano Plus BSI compreende o seguinte escopo de trabalho (inclusive peças</t>
  </si>
  <si>
    <t>originais BMW e óleo utilizados para prestar os serviços):</t>
  </si>
  <si>
    <t>Os serviços descritos nos itens 1 a 8 acima apenas poderão ser solicitados pelo</t>
  </si>
  <si>
    <t>Plus BSI.</t>
  </si>
  <si>
    <t>O Cliente reconhece e aceita que o Plano Plus BSI será automaticamente</t>
  </si>
  <si>
    <t>O Plano Plus BSI será aplicável exclusivamente às peças originais do Grupo</t>
  </si>
  <si>
    <t>coberto pelo Plano Plus BSI.</t>
  </si>
  <si>
    <t>O Plano Plus BSI não poderá ser transferido para outro veículo, pois está</t>
  </si>
  <si>
    <t>Plus BSI será automaticamente transferido para o próximo proprietário, sujeito</t>
  </si>
  <si>
    <t xml:space="preserve">Estes “Termos e Condições do Programa MINI Service Inclusive”, incluindo o Anexo 1 </t>
  </si>
  <si>
    <t>Padrão MSI”) e são celebrados entre:</t>
  </si>
  <si>
    <t>para adquirir o Programa MSI,</t>
  </si>
  <si>
    <t>para adquirir o Programa BSI,</t>
  </si>
  <si>
    <t>Plano Padrão MSI, com relação ao veículo abaixo descrito:</t>
  </si>
  <si>
    <t>Padrão MSI. A BMW Brasil, a seu exclusivo critério, terá o direito de contratar terceiros</t>
  </si>
  <si>
    <t>para prestar os serviços no âmbito do Programa MSI e Plano Padrão MSI.</t>
  </si>
  <si>
    <t>direito aos serviços do Plano Padrão MSI se encerrará. O Cliente tem a opção de</t>
  </si>
  <si>
    <t>(“Termos e Condições”), regem o Plano Padrão do MINI Service Inclusive (“Plano</t>
  </si>
  <si>
    <t>O Plano Padrão MSI compreende o seguinte escopo de trabalho (inclusive peças</t>
  </si>
  <si>
    <t>pelo sistema CBS (status do CBS: luz amarela ou vermelha).</t>
  </si>
  <si>
    <t>Padrão MSI.</t>
  </si>
  <si>
    <t>O Cliente reconhece e aceita que o Plano Padrão MSI será automaticamente</t>
  </si>
  <si>
    <t>veículo. Por esse motivo, a BMW do Brasil aconselha o Cliente a ler</t>
  </si>
  <si>
    <t>cuidadosamente o referido Termo de Garantia.</t>
  </si>
  <si>
    <t>O Plano Padrão MSI será aplicável exclusivamente às peças originais do Grupo</t>
  </si>
  <si>
    <t>resultem de nenhum ato e/ou omissão da BMW do Brasil, inclusive, entre outros,</t>
  </si>
  <si>
    <t>coberto pelo Plano Padrão MSI.</t>
  </si>
  <si>
    <t>O Plano Padrão MSI não poderá ser transferido para outro veículo, pois está</t>
  </si>
  <si>
    <t>Padrão MSI será automaticamente transferido para o próximo proprietário, sujeito</t>
  </si>
  <si>
    <t>(“Termos e Condições”), regem o Plano Plus do MINI Service Inclusive (“Plano</t>
  </si>
  <si>
    <t>Plus MSI”) e são celebrados entre:</t>
  </si>
  <si>
    <t>especificamente o Plano Plus MSI, com relação ao veículo abaixo descrito:</t>
  </si>
  <si>
    <t>Ltda. (“BMW do Brasil”), que é a empresa responsável pelo Programa BSI e pelo Plano</t>
  </si>
  <si>
    <t>Ltda. (“BMW do Brasil”), que é a empresa responsável pelo Programa MSI e pelo Plano</t>
  </si>
  <si>
    <t>Plus MSI. A BMW Brasil, a seu exclusivo critério, terá o direito de contratar terceiros</t>
  </si>
  <si>
    <t>para prestar os serviços no âmbito do Programa MSI e Plano Plus MSI.</t>
  </si>
  <si>
    <t>direito aos serviços do Plano Plus MSI se encerrará. O Cliente tem a opção de</t>
  </si>
  <si>
    <t>O Plano Plus MSI compreende o seguinte escopo de trabalho (inclusive peças</t>
  </si>
  <si>
    <t>2. DIREITO DE USAR OS SERVIÇOS INCLUÍDOS NO PLANO PLUS MSI</t>
  </si>
  <si>
    <t>Plus MSI.</t>
  </si>
  <si>
    <t>O Cliente reconhece e aceita que o Plano Plus MSI será automaticamente</t>
  </si>
  <si>
    <t>O Plano Plus MSI será aplicável exclusivamente às peças originais do Grupo</t>
  </si>
  <si>
    <t>coberto pelo Plano Plus MSI.</t>
  </si>
  <si>
    <t>O Plano Plus MSI não poderá ser transferido para outro veículo, pois está</t>
  </si>
  <si>
    <t>Plus MSI será automaticamente transferido para o próximo proprietário, sujeito</t>
  </si>
  <si>
    <t>Atualização: outubro/2022</t>
  </si>
  <si>
    <t>Formulário de Ativação do Service Inclusive</t>
  </si>
  <si>
    <t>Resumo da Solicitação do Service Inclusive</t>
  </si>
  <si>
    <t>MARCIO FILHO</t>
  </si>
  <si>
    <t>9IJHFT6RES4A98765</t>
  </si>
  <si>
    <t>2021/2022</t>
  </si>
  <si>
    <t>ELAINE SILVA</t>
  </si>
  <si>
    <t>123.456.789-00</t>
  </si>
  <si>
    <t>ELAINE@BMW.COM.BR</t>
  </si>
  <si>
    <t>Versão: 2022_10_04 piloto</t>
  </si>
  <si>
    <t>BMW/MINI SERVICE INCLUSIVE</t>
  </si>
  <si>
    <t xml:space="preserve">Estes “Termos e Condições do Programa BMW Service Inclusive / Programa MINI </t>
  </si>
  <si>
    <t>Service Inclusive”, incluindo o Anexo 1 (“Termos e Condições”), regem o "Plano BEV</t>
  </si>
  <si>
    <t>Standard BSI" / "Plano BEV Standard MSI" e são celebrados entre:</t>
  </si>
  <si>
    <t>para adquirir o Programa BSI</t>
  </si>
  <si>
    <t>/ Programa MSI, especificamente o Plano BEV Standard BSI / Plano BEV Standard MSI,</t>
  </si>
  <si>
    <t>veículo. Por esse motivo, a BMW Brasil aconselha o Cliente a ler</t>
  </si>
  <si>
    <t>resultem de nenhum ato e/ou omissão da BMW Brasil, inclusive, entre outros,</t>
  </si>
  <si>
    <t>Ltda. (“BMW Brasil”), que é a empresa responsável pelo Programa BSI / Programa</t>
  </si>
  <si>
    <t>MSI e pelo Plano BEV Standard BSI / Plano BEV Standard MSI. A BMW Brasil, a seu</t>
  </si>
  <si>
    <t>exclusivo critério, terá o direito de contratar terceiros para prestar os serviços no âmbito</t>
  </si>
  <si>
    <t>do Programa BSI / Programa MSI e Plano BEV Standard BSI / Plano BEV Standard MSI.</t>
  </si>
  <si>
    <t>O Plano BEV Standard BSI / Plano BEV Standard MSI será válido até</t>
  </si>
  <si>
    <t>sem limite de quilometragem.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</si>
</sst>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\(##\)\ #####\-####"/>
    <numFmt numFmtId="167" formatCode="#,##0_ ;\-#,##0\ "/>
    <numFmt numFmtId="168" formatCode="_-* #,##0_-;\-* #,##0_-;_-* &quot;-&quot;??_-;_-@_-"/>
    <numFmt numFmtId="169" formatCode="[$-416]dd\-mmm\-yy;@"/>
    <numFmt numFmtId="170" formatCode="_-&quot;R$&quot;\ * #,##0_-;\-&quot;R$&quot;\ * #,##0_-;_-&quot;R$&quot;\ * &quot;-&quot;??_-;_-@_-"/>
  </numFmts>
  <fonts count="3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1"/>
      <name val="BMW Group Condensed"/>
      <family val="2"/>
    </font>
    <font>
      <sz val="9"/>
      <color theme="1"/>
      <name val="BMW Group Condensed"/>
      <family val="2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vertAlign val="superscript"/>
      <sz val="14"/>
      <color theme="5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9"/>
      <color indexed="81"/>
      <name val="Segoe UI"/>
      <family val="2"/>
    </font>
    <font>
      <sz val="11"/>
      <color theme="1"/>
      <name val="BMW Group Condensed"/>
      <family val="2"/>
    </font>
    <font>
      <sz val="12"/>
      <color theme="1"/>
      <name val="BMW Group Condensed"/>
      <family val="2"/>
    </font>
    <font>
      <sz val="22"/>
      <color theme="1"/>
      <name val="BMW Group Condensed"/>
      <family val="2"/>
    </font>
    <font>
      <sz val="11"/>
      <color rgb="FF000000"/>
      <name val="Calibri"/>
      <charset val="134"/>
      <scheme val="minor"/>
    </font>
    <font>
      <b/>
      <sz val="25"/>
      <color theme="1"/>
      <name val="BMW Group Condensed"/>
      <family val="2"/>
    </font>
    <font>
      <sz val="12"/>
      <color theme="1"/>
      <name val="Calibri"/>
      <family val="2"/>
      <scheme val="minor"/>
    </font>
    <font>
      <sz val="14"/>
      <color theme="1"/>
      <name val="BMW Group Condensed"/>
      <family val="2"/>
    </font>
    <font>
      <b/>
      <sz val="14"/>
      <color theme="1"/>
      <name val="BMW Group Condensed"/>
      <family val="2"/>
    </font>
    <font>
      <b/>
      <u/>
      <sz val="14"/>
      <color theme="1"/>
      <name val="BMW Group Condensed"/>
      <family val="2"/>
    </font>
    <font>
      <b/>
      <sz val="18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2"/>
      <color theme="1"/>
      <name val="Arial"/>
      <family val="2"/>
    </font>
    <font>
      <sz val="22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vertAlign val="superscript"/>
      <sz val="1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EE5E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333F4F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medium">
        <color indexed="64"/>
      </right>
      <top style="dotted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159">
    <xf numFmtId="0" fontId="0" fillId="0" borderId="0" xfId="0"/>
    <xf numFmtId="0" fontId="0" fillId="2" borderId="0" xfId="0" applyFill="1"/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3" fontId="4" fillId="0" borderId="0" xfId="0" applyNumberFormat="1" applyFont="1" applyAlignment="1">
      <alignment horizontal="left"/>
    </xf>
    <xf numFmtId="14" fontId="4" fillId="0" borderId="0" xfId="0" applyNumberFormat="1" applyFont="1" applyAlignment="1">
      <alignment horizontal="left"/>
    </xf>
    <xf numFmtId="0" fontId="4" fillId="4" borderId="0" xfId="0" applyFont="1" applyFill="1" applyAlignment="1">
      <alignment horizontal="left"/>
    </xf>
    <xf numFmtId="0" fontId="4" fillId="0" borderId="0" xfId="0" applyFont="1"/>
    <xf numFmtId="1" fontId="4" fillId="0" borderId="0" xfId="0" applyNumberFormat="1" applyFont="1" applyAlignment="1">
      <alignment horizontal="left"/>
    </xf>
    <xf numFmtId="0" fontId="2" fillId="0" borderId="0" xfId="0" applyFont="1"/>
    <xf numFmtId="0" fontId="5" fillId="0" borderId="0" xfId="0" applyFont="1" applyAlignment="1">
      <alignment vertical="center"/>
    </xf>
    <xf numFmtId="38" fontId="6" fillId="0" borderId="0" xfId="0" applyNumberFormat="1" applyFont="1" applyAlignment="1">
      <alignment horizontal="right" vertical="center"/>
    </xf>
    <xf numFmtId="0" fontId="8" fillId="4" borderId="1" xfId="0" applyFont="1" applyFill="1" applyBorder="1" applyAlignment="1">
      <alignment horizontal="right"/>
    </xf>
    <xf numFmtId="14" fontId="9" fillId="4" borderId="1" xfId="0" applyNumberFormat="1" applyFont="1" applyFill="1" applyBorder="1" applyAlignment="1">
      <alignment horizontal="center"/>
    </xf>
    <xf numFmtId="0" fontId="9" fillId="4" borderId="1" xfId="0" applyFont="1" applyFill="1" applyBorder="1" applyAlignment="1">
      <alignment horizontal="center"/>
    </xf>
    <xf numFmtId="168" fontId="0" fillId="0" borderId="0" xfId="0" applyNumberFormat="1"/>
    <xf numFmtId="165" fontId="0" fillId="0" borderId="0" xfId="1" applyFont="1"/>
    <xf numFmtId="0" fontId="8" fillId="4" borderId="0" xfId="0" applyFont="1" applyFill="1" applyAlignment="1">
      <alignment horizontal="right"/>
    </xf>
    <xf numFmtId="165" fontId="0" fillId="4" borderId="1" xfId="1" applyFont="1" applyFill="1" applyBorder="1"/>
    <xf numFmtId="0" fontId="11" fillId="0" borderId="0" xfId="0" applyFont="1"/>
    <xf numFmtId="0" fontId="15" fillId="0" borderId="0" xfId="0" applyFont="1"/>
    <xf numFmtId="0" fontId="15" fillId="5" borderId="0" xfId="0" applyFont="1" applyFill="1" applyAlignment="1">
      <alignment horizontal="left" vertical="center"/>
    </xf>
    <xf numFmtId="0" fontId="15" fillId="5" borderId="0" xfId="0" applyFont="1" applyFill="1"/>
    <xf numFmtId="3" fontId="0" fillId="0" borderId="0" xfId="0" applyNumberFormat="1"/>
    <xf numFmtId="0" fontId="2" fillId="0" borderId="1" xfId="0" applyFont="1" applyBorder="1"/>
    <xf numFmtId="0" fontId="0" fillId="0" borderId="1" xfId="0" applyBorder="1"/>
    <xf numFmtId="14" fontId="0" fillId="0" borderId="1" xfId="0" applyNumberFormat="1" applyBorder="1"/>
    <xf numFmtId="3" fontId="0" fillId="0" borderId="1" xfId="0" applyNumberFormat="1" applyBorder="1"/>
    <xf numFmtId="166" fontId="0" fillId="0" borderId="1" xfId="0" applyNumberFormat="1" applyBorder="1" applyAlignment="1">
      <alignment horizontal="center" vertical="center"/>
    </xf>
    <xf numFmtId="1" fontId="0" fillId="0" borderId="1" xfId="0" applyNumberFormat="1" applyBorder="1"/>
    <xf numFmtId="0" fontId="19" fillId="0" borderId="0" xfId="0" applyFont="1" applyAlignment="1">
      <alignment horizontal="left"/>
    </xf>
    <xf numFmtId="0" fontId="19" fillId="0" borderId="17" xfId="0" applyFont="1" applyBorder="1" applyAlignment="1">
      <alignment horizontal="left"/>
    </xf>
    <xf numFmtId="0" fontId="18" fillId="0" borderId="17" xfId="0" applyFont="1" applyBorder="1" applyAlignment="1">
      <alignment horizontal="left"/>
    </xf>
    <xf numFmtId="0" fontId="19" fillId="0" borderId="16" xfId="0" applyFont="1" applyBorder="1" applyAlignment="1">
      <alignment horizontal="left"/>
    </xf>
    <xf numFmtId="0" fontId="19" fillId="0" borderId="18" xfId="0" applyFont="1" applyBorder="1" applyAlignment="1">
      <alignment horizontal="left"/>
    </xf>
    <xf numFmtId="0" fontId="0" fillId="0" borderId="6" xfId="0" applyBorder="1"/>
    <xf numFmtId="0" fontId="0" fillId="0" borderId="9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6" borderId="1" xfId="0" applyFill="1" applyBorder="1" applyAlignment="1" applyProtection="1">
      <alignment horizontal="center"/>
      <protection locked="0"/>
    </xf>
    <xf numFmtId="0" fontId="19" fillId="0" borderId="19" xfId="0" applyFont="1" applyBorder="1" applyAlignment="1">
      <alignment horizontal="left"/>
    </xf>
    <xf numFmtId="0" fontId="19" fillId="0" borderId="20" xfId="0" applyFont="1" applyBorder="1" applyAlignment="1">
      <alignment horizontal="left"/>
    </xf>
    <xf numFmtId="0" fontId="19" fillId="0" borderId="21" xfId="0" applyFont="1" applyBorder="1" applyAlignment="1">
      <alignment horizontal="left"/>
    </xf>
    <xf numFmtId="0" fontId="20" fillId="0" borderId="0" xfId="0" applyFont="1" applyAlignment="1">
      <alignment horizontal="left"/>
    </xf>
    <xf numFmtId="0" fontId="19" fillId="0" borderId="22" xfId="0" applyFont="1" applyBorder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left"/>
    </xf>
    <xf numFmtId="0" fontId="19" fillId="0" borderId="23" xfId="0" applyFont="1" applyBorder="1" applyAlignment="1">
      <alignment horizontal="left"/>
    </xf>
    <xf numFmtId="0" fontId="19" fillId="0" borderId="24" xfId="0" applyFont="1" applyBorder="1" applyAlignment="1">
      <alignment horizontal="left"/>
    </xf>
    <xf numFmtId="0" fontId="15" fillId="5" borderId="0" xfId="0" applyFont="1" applyFill="1" applyAlignment="1">
      <alignment wrapText="1"/>
    </xf>
    <xf numFmtId="38" fontId="21" fillId="0" borderId="0" xfId="0" applyNumberFormat="1" applyFont="1" applyAlignment="1">
      <alignment horizontal="right" vertical="center"/>
    </xf>
    <xf numFmtId="0" fontId="0" fillId="0" borderId="8" xfId="0" applyBorder="1" applyAlignment="1">
      <alignment horizontal="right"/>
    </xf>
    <xf numFmtId="0" fontId="22" fillId="0" borderId="0" xfId="0" applyFont="1" applyAlignment="1">
      <alignment horizontal="center"/>
    </xf>
    <xf numFmtId="0" fontId="19" fillId="0" borderId="0" xfId="0" applyFont="1" applyAlignment="1">
      <alignment horizontal="left" vertical="center" wrapText="1"/>
    </xf>
    <xf numFmtId="0" fontId="24" fillId="0" borderId="0" xfId="0" applyFont="1" applyAlignment="1">
      <alignment horizontal="center" vertical="center" wrapText="1"/>
    </xf>
    <xf numFmtId="0" fontId="25" fillId="0" borderId="0" xfId="0" applyFont="1" applyAlignment="1">
      <alignment vertical="center" wrapText="1"/>
    </xf>
    <xf numFmtId="0" fontId="24" fillId="0" borderId="0" xfId="0" applyFont="1"/>
    <xf numFmtId="0" fontId="23" fillId="0" borderId="0" xfId="0" applyFont="1"/>
    <xf numFmtId="0" fontId="0" fillId="5" borderId="0" xfId="0" applyFill="1"/>
    <xf numFmtId="0" fontId="29" fillId="8" borderId="5" xfId="0" applyFont="1" applyFill="1" applyBorder="1"/>
    <xf numFmtId="0" fontId="0" fillId="8" borderId="6" xfId="0" applyFill="1" applyBorder="1"/>
    <xf numFmtId="0" fontId="0" fillId="10" borderId="0" xfId="0" applyFill="1"/>
    <xf numFmtId="0" fontId="11" fillId="10" borderId="0" xfId="0" applyFont="1" applyFill="1"/>
    <xf numFmtId="0" fontId="30" fillId="10" borderId="0" xfId="0" applyFont="1" applyFill="1"/>
    <xf numFmtId="0" fontId="31" fillId="0" borderId="19" xfId="0" applyFont="1" applyBorder="1" applyAlignment="1">
      <alignment horizontal="left"/>
    </xf>
    <xf numFmtId="0" fontId="31" fillId="0" borderId="17" xfId="0" applyFont="1" applyBorder="1" applyAlignment="1">
      <alignment horizontal="left"/>
    </xf>
    <xf numFmtId="0" fontId="31" fillId="0" borderId="20" xfId="0" applyFont="1" applyBorder="1" applyAlignment="1">
      <alignment horizontal="left"/>
    </xf>
    <xf numFmtId="0" fontId="31" fillId="0" borderId="0" xfId="0" applyFont="1" applyAlignment="1">
      <alignment horizontal="left"/>
    </xf>
    <xf numFmtId="0" fontId="31" fillId="0" borderId="21" xfId="0" applyFont="1" applyBorder="1" applyAlignment="1">
      <alignment horizontal="left"/>
    </xf>
    <xf numFmtId="0" fontId="32" fillId="0" borderId="0" xfId="0" applyFont="1" applyAlignment="1">
      <alignment horizontal="left"/>
    </xf>
    <xf numFmtId="0" fontId="31" fillId="0" borderId="22" xfId="0" applyFont="1" applyBorder="1" applyAlignment="1">
      <alignment horizontal="left"/>
    </xf>
    <xf numFmtId="0" fontId="31" fillId="0" borderId="16" xfId="0" applyFont="1" applyBorder="1" applyAlignment="1">
      <alignment horizontal="left"/>
    </xf>
    <xf numFmtId="0" fontId="33" fillId="0" borderId="0" xfId="0" applyFont="1"/>
    <xf numFmtId="0" fontId="31" fillId="0" borderId="18" xfId="0" applyFont="1" applyBorder="1" applyAlignment="1">
      <alignment horizontal="left"/>
    </xf>
    <xf numFmtId="0" fontId="31" fillId="0" borderId="23" xfId="0" applyFont="1" applyBorder="1" applyAlignment="1">
      <alignment horizontal="left"/>
    </xf>
    <xf numFmtId="0" fontId="31" fillId="0" borderId="24" xfId="0" applyFont="1" applyBorder="1" applyAlignment="1">
      <alignment horizontal="left"/>
    </xf>
    <xf numFmtId="0" fontId="31" fillId="0" borderId="0" xfId="0" applyFont="1"/>
    <xf numFmtId="0" fontId="28" fillId="0" borderId="5" xfId="0" applyFont="1" applyBorder="1"/>
    <xf numFmtId="0" fontId="29" fillId="0" borderId="5" xfId="0" applyFont="1" applyBorder="1"/>
    <xf numFmtId="0" fontId="0" fillId="0" borderId="1" xfId="0" applyBorder="1" applyAlignment="1" applyProtection="1">
      <alignment horizontal="center"/>
      <protection locked="0"/>
    </xf>
    <xf numFmtId="0" fontId="29" fillId="0" borderId="10" xfId="0" applyFont="1" applyBorder="1"/>
    <xf numFmtId="0" fontId="0" fillId="0" borderId="12" xfId="0" applyBorder="1"/>
    <xf numFmtId="0" fontId="28" fillId="0" borderId="13" xfId="0" applyFont="1" applyBorder="1"/>
    <xf numFmtId="0" fontId="0" fillId="0" borderId="15" xfId="0" applyBorder="1"/>
    <xf numFmtId="0" fontId="14" fillId="0" borderId="1" xfId="2" applyFill="1" applyBorder="1" applyAlignment="1" applyProtection="1">
      <alignment horizontal="center"/>
      <protection locked="0"/>
    </xf>
    <xf numFmtId="0" fontId="29" fillId="0" borderId="7" xfId="0" applyFont="1" applyBorder="1"/>
    <xf numFmtId="14" fontId="0" fillId="0" borderId="8" xfId="0" applyNumberFormat="1" applyBorder="1"/>
    <xf numFmtId="0" fontId="0" fillId="0" borderId="1" xfId="0" applyBorder="1" applyAlignment="1">
      <alignment horizontal="center" vertical="center"/>
    </xf>
    <xf numFmtId="169" fontId="0" fillId="0" borderId="1" xfId="0" applyNumberFormat="1" applyBorder="1" applyAlignment="1">
      <alignment horizontal="center"/>
    </xf>
    <xf numFmtId="3" fontId="0" fillId="0" borderId="1" xfId="1" applyNumberFormat="1" applyFont="1" applyFill="1" applyBorder="1" applyAlignment="1">
      <alignment horizontal="center" vertical="center"/>
    </xf>
    <xf numFmtId="3" fontId="0" fillId="13" borderId="1" xfId="1" applyNumberFormat="1" applyFont="1" applyFill="1" applyBorder="1" applyAlignment="1">
      <alignment horizontal="center" vertical="center"/>
    </xf>
    <xf numFmtId="170" fontId="10" fillId="13" borderId="17" xfId="3" applyNumberFormat="1" applyFont="1" applyFill="1" applyBorder="1" applyAlignment="1">
      <alignment horizontal="center" vertical="center"/>
    </xf>
    <xf numFmtId="167" fontId="0" fillId="0" borderId="1" xfId="1" applyNumberFormat="1" applyFont="1" applyFill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0" fontId="12" fillId="3" borderId="1" xfId="0" applyFont="1" applyFill="1" applyBorder="1" applyAlignment="1">
      <alignment horizontal="center"/>
    </xf>
    <xf numFmtId="167" fontId="0" fillId="6" borderId="1" xfId="1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8" borderId="0" xfId="0" applyFill="1" applyAlignment="1">
      <alignment horizontal="center"/>
    </xf>
    <xf numFmtId="0" fontId="35" fillId="11" borderId="1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35" fillId="11" borderId="1" xfId="0" applyFont="1" applyFill="1" applyBorder="1" applyAlignment="1">
      <alignment horizontal="center" vertical="center"/>
    </xf>
    <xf numFmtId="0" fontId="35" fillId="11" borderId="0" xfId="0" applyFont="1" applyFill="1" applyAlignment="1">
      <alignment horizontal="center"/>
    </xf>
    <xf numFmtId="0" fontId="35" fillId="3" borderId="1" xfId="0" applyFont="1" applyFill="1" applyBorder="1" applyAlignment="1">
      <alignment horizontal="center"/>
    </xf>
    <xf numFmtId="0" fontId="35" fillId="12" borderId="1" xfId="0" applyFont="1" applyFill="1" applyBorder="1" applyAlignment="1">
      <alignment horizontal="center" vertical="center"/>
    </xf>
    <xf numFmtId="0" fontId="35" fillId="9" borderId="16" xfId="0" applyFont="1" applyFill="1" applyBorder="1" applyAlignment="1">
      <alignment horizontal="center" vertical="center"/>
    </xf>
    <xf numFmtId="0" fontId="0" fillId="0" borderId="8" xfId="0" applyBorder="1" applyAlignment="1" applyProtection="1">
      <alignment horizontal="right"/>
      <protection locked="0"/>
    </xf>
    <xf numFmtId="0" fontId="31" fillId="0" borderId="0" xfId="0" applyFont="1" applyAlignment="1">
      <alignment horizontal="distributed"/>
    </xf>
    <xf numFmtId="14" fontId="31" fillId="0" borderId="16" xfId="0" applyNumberFormat="1" applyFont="1" applyBorder="1"/>
    <xf numFmtId="14" fontId="31" fillId="0" borderId="0" xfId="0" applyNumberFormat="1" applyFont="1"/>
    <xf numFmtId="0" fontId="31" fillId="4" borderId="0" xfId="0" applyFont="1" applyFill="1" applyAlignment="1">
      <alignment horizontal="left"/>
    </xf>
    <xf numFmtId="0" fontId="36" fillId="11" borderId="2" xfId="0" applyFont="1" applyFill="1" applyBorder="1" applyAlignment="1">
      <alignment horizontal="center" vertical="center"/>
    </xf>
    <xf numFmtId="0" fontId="36" fillId="11" borderId="3" xfId="0" applyFont="1" applyFill="1" applyBorder="1" applyAlignment="1">
      <alignment horizontal="center" vertical="center"/>
    </xf>
    <xf numFmtId="0" fontId="36" fillId="11" borderId="4" xfId="0" applyFont="1" applyFill="1" applyBorder="1" applyAlignment="1">
      <alignment horizontal="center" vertical="center"/>
    </xf>
    <xf numFmtId="0" fontId="36" fillId="11" borderId="5" xfId="0" applyFont="1" applyFill="1" applyBorder="1" applyAlignment="1">
      <alignment horizontal="center" vertical="center"/>
    </xf>
    <xf numFmtId="0" fontId="36" fillId="11" borderId="0" xfId="0" applyFont="1" applyFill="1" applyAlignment="1">
      <alignment horizontal="center" vertical="center"/>
    </xf>
    <xf numFmtId="0" fontId="36" fillId="11" borderId="6" xfId="0" applyFont="1" applyFill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5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11" fillId="7" borderId="27" xfId="0" applyFont="1" applyFill="1" applyBorder="1" applyAlignment="1">
      <alignment horizontal="center"/>
    </xf>
    <xf numFmtId="0" fontId="16" fillId="13" borderId="19" xfId="0" applyFont="1" applyFill="1" applyBorder="1" applyAlignment="1">
      <alignment horizontal="center" wrapText="1"/>
    </xf>
    <xf numFmtId="0" fontId="16" fillId="13" borderId="17" xfId="0" applyFont="1" applyFill="1" applyBorder="1" applyAlignment="1">
      <alignment horizontal="center" wrapText="1"/>
    </xf>
    <xf numFmtId="0" fontId="16" fillId="13" borderId="20" xfId="0" applyFont="1" applyFill="1" applyBorder="1" applyAlignment="1">
      <alignment horizontal="center" wrapText="1"/>
    </xf>
    <xf numFmtId="0" fontId="16" fillId="13" borderId="23" xfId="0" applyFont="1" applyFill="1" applyBorder="1" applyAlignment="1">
      <alignment horizontal="center" wrapText="1"/>
    </xf>
    <xf numFmtId="0" fontId="16" fillId="13" borderId="16" xfId="0" applyFont="1" applyFill="1" applyBorder="1" applyAlignment="1">
      <alignment horizontal="center" wrapText="1"/>
    </xf>
    <xf numFmtId="0" fontId="16" fillId="13" borderId="24" xfId="0" applyFont="1" applyFill="1" applyBorder="1" applyAlignment="1">
      <alignment horizontal="center" wrapText="1"/>
    </xf>
    <xf numFmtId="0" fontId="35" fillId="12" borderId="29" xfId="0" applyFont="1" applyFill="1" applyBorder="1" applyAlignment="1">
      <alignment horizontal="center" vertical="center"/>
    </xf>
    <xf numFmtId="0" fontId="35" fillId="12" borderId="18" xfId="0" applyFont="1" applyFill="1" applyBorder="1" applyAlignment="1">
      <alignment horizontal="center" vertical="center"/>
    </xf>
    <xf numFmtId="0" fontId="35" fillId="12" borderId="3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0" borderId="25" xfId="0" applyFont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3" fillId="0" borderId="26" xfId="0" applyFont="1" applyBorder="1" applyAlignment="1">
      <alignment horizontal="center" vertical="center" wrapText="1"/>
    </xf>
    <xf numFmtId="0" fontId="31" fillId="0" borderId="0" xfId="0" applyFont="1" applyAlignment="1">
      <alignment horizontal="distributed"/>
    </xf>
    <xf numFmtId="0" fontId="0" fillId="0" borderId="0" xfId="0" applyAlignment="1">
      <alignment horizontal="distributed"/>
    </xf>
    <xf numFmtId="14" fontId="31" fillId="0" borderId="16" xfId="0" applyNumberFormat="1" applyFont="1" applyBorder="1" applyAlignment="1">
      <alignment horizontal="center"/>
    </xf>
    <xf numFmtId="170" fontId="31" fillId="0" borderId="16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/>
    </xf>
    <xf numFmtId="0" fontId="34" fillId="0" borderId="0" xfId="0" applyFont="1" applyAlignment="1">
      <alignment horizontal="center"/>
    </xf>
    <xf numFmtId="3" fontId="31" fillId="0" borderId="16" xfId="0" applyNumberFormat="1" applyFont="1" applyBorder="1" applyAlignment="1">
      <alignment horizontal="center"/>
    </xf>
    <xf numFmtId="0" fontId="19" fillId="0" borderId="0" xfId="0" applyFont="1" applyAlignment="1">
      <alignment horizontal="distributed"/>
    </xf>
    <xf numFmtId="0" fontId="19" fillId="0" borderId="0" xfId="0" applyFont="1" applyAlignment="1">
      <alignment horizontal="distributed" justifyLastLine="1"/>
    </xf>
    <xf numFmtId="170" fontId="19" fillId="0" borderId="16" xfId="0" applyNumberFormat="1" applyFont="1" applyBorder="1" applyAlignment="1">
      <alignment horizontal="center"/>
    </xf>
    <xf numFmtId="14" fontId="19" fillId="0" borderId="16" xfId="0" applyNumberFormat="1" applyFont="1" applyBorder="1" applyAlignment="1">
      <alignment horizontal="center"/>
    </xf>
    <xf numFmtId="3" fontId="19" fillId="0" borderId="16" xfId="0" applyNumberFormat="1" applyFont="1" applyBorder="1" applyAlignment="1">
      <alignment horizontal="center"/>
    </xf>
    <xf numFmtId="0" fontId="19" fillId="0" borderId="16" xfId="0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31" fillId="4" borderId="0" xfId="0" applyFont="1" applyFill="1" applyAlignment="1">
      <alignment horizontal="distributed"/>
    </xf>
  </cellXfs>
  <cellStyles count="4">
    <cellStyle name="Hiperlink" xfId="2" builtinId="8"/>
    <cellStyle name="Moeda" xfId="3" builtinId="4"/>
    <cellStyle name="Normal" xfId="0" builtinId="0"/>
    <cellStyle name="Vírgula" xfId="1" builtinId="3"/>
  </cellStyles>
  <dxfs count="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0" formatCode="_-&quot;R$&quot;\ * #,##0_-;\-&quot;R$&quot;\ * #,##0_-;_-&quot;R$&quot;\ * &quot;-&quot;??_-;_-@_-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0" formatCode="_-&quot;R$&quot;\ * #,##0_-;\-&quot;R$&quot;\ * #,##0_-;_-&quot;R$&quot;\ * &quot;-&quot;??_-;_-@_-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superscript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305496"/>
      <color rgb="FF333F4F"/>
      <color rgb="FF035970"/>
      <color rgb="FFDEE5EC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jpeg"/><Relationship Id="rId3" Type="http://schemas.openxmlformats.org/officeDocument/2006/relationships/image" Target="../media/image2.png"/><Relationship Id="rId7" Type="http://schemas.openxmlformats.org/officeDocument/2006/relationships/image" Target="../media/image5.jpeg"/><Relationship Id="rId2" Type="http://schemas.openxmlformats.org/officeDocument/2006/relationships/hyperlink" Target="mailto:serviceinclusive.br@bmw.com.br#serviceinclusive.br@bmw.com.br" TargetMode="External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hyperlink" Target="#M&#225;scara!A1"/><Relationship Id="rId4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stru&#231;&#245;es!A1"/><Relationship Id="rId2" Type="http://schemas.openxmlformats.org/officeDocument/2006/relationships/image" Target="../media/image8.svg"/><Relationship Id="rId1" Type="http://schemas.openxmlformats.org/officeDocument/2006/relationships/image" Target="../media/image7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4323</xdr:colOff>
      <xdr:row>1</xdr:row>
      <xdr:rowOff>609</xdr:rowOff>
    </xdr:from>
    <xdr:to>
      <xdr:col>1</xdr:col>
      <xdr:colOff>862812</xdr:colOff>
      <xdr:row>3</xdr:row>
      <xdr:rowOff>64409</xdr:rowOff>
    </xdr:to>
    <xdr:pic>
      <xdr:nvPicPr>
        <xdr:cNvPr id="2" name="Picture 3" descr="Macintosh HD:Users:tabatapsi:Desktop:BD-0014-11-PAPELARIA BMW GROUP:imagens:logo group papelaria gray.psd">
          <a:extLst>
            <a:ext uri="{FF2B5EF4-FFF2-40B4-BE49-F238E27FC236}">
              <a16:creationId xmlns:a16="http://schemas.microsoft.com/office/drawing/2014/main" id="{14EE54F0-9B82-4E21-B317-5EC401241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94823" y="191109"/>
          <a:ext cx="858489" cy="64800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8565646</xdr:colOff>
      <xdr:row>6</xdr:row>
      <xdr:rowOff>116601</xdr:rowOff>
    </xdr:from>
    <xdr:to>
      <xdr:col>1</xdr:col>
      <xdr:colOff>9927663</xdr:colOff>
      <xdr:row>7</xdr:row>
      <xdr:rowOff>177800</xdr:rowOff>
    </xdr:to>
    <xdr:sp macro="" textlink="">
      <xdr:nvSpPr>
        <xdr:cNvPr id="4" name="TextBox 14">
          <a:extLst>
            <a:ext uri="{FF2B5EF4-FFF2-40B4-BE49-F238E27FC236}">
              <a16:creationId xmlns:a16="http://schemas.microsoft.com/office/drawing/2014/main" id="{2FC52C00-350E-4F91-BEC9-2D216A657BDD}"/>
            </a:ext>
          </a:extLst>
        </xdr:cNvPr>
        <xdr:cNvSpPr txBox="1"/>
      </xdr:nvSpPr>
      <xdr:spPr>
        <a:xfrm>
          <a:off x="8756146" y="1729501"/>
          <a:ext cx="1362017" cy="4040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pt-BR" sz="1100" b="1">
              <a:latin typeface="BMW Group Condensed" panose="020B0606020202020204" pitchFamily="34" charset="0"/>
            </a:rPr>
            <a:t>clique</a:t>
          </a:r>
          <a:r>
            <a:rPr lang="pt-BR" sz="1100" b="1" baseline="0">
              <a:latin typeface="BMW Group Condensed" panose="020B0606020202020204" pitchFamily="34" charset="0"/>
            </a:rPr>
            <a:t> aqui</a:t>
          </a:r>
          <a:endParaRPr lang="pt-BR" sz="1100" b="1">
            <a:latin typeface="BMW Group Condensed" panose="020B0606020202020204" pitchFamily="34" charset="0"/>
          </a:endParaRPr>
        </a:p>
      </xdr:txBody>
    </xdr:sp>
    <xdr:clientData/>
  </xdr:twoCellAnchor>
  <xdr:twoCellAnchor>
    <xdr:from>
      <xdr:col>1</xdr:col>
      <xdr:colOff>2970306</xdr:colOff>
      <xdr:row>16</xdr:row>
      <xdr:rowOff>166595</xdr:rowOff>
    </xdr:from>
    <xdr:to>
      <xdr:col>1</xdr:col>
      <xdr:colOff>5549769</xdr:colOff>
      <xdr:row>17</xdr:row>
      <xdr:rowOff>280148</xdr:rowOff>
    </xdr:to>
    <xdr:sp macro="" textlink="">
      <xdr:nvSpPr>
        <xdr:cNvPr id="9" name="Text Box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2FE42A2-E200-4801-A453-76D44E667CD5}"/>
            </a:ext>
          </a:extLst>
        </xdr:cNvPr>
        <xdr:cNvSpPr txBox="1">
          <a:spLocks noChangeArrowheads="1"/>
        </xdr:cNvSpPr>
      </xdr:nvSpPr>
      <xdr:spPr bwMode="auto">
        <a:xfrm>
          <a:off x="3164694" y="5191518"/>
          <a:ext cx="2579463" cy="45373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lnSpc>
              <a:spcPts val="1100"/>
            </a:lnSpc>
            <a:defRPr sz="1000"/>
          </a:pPr>
          <a:r>
            <a:rPr lang="pt-BR" sz="1400" b="1" i="0" u="sng" strike="noStrike" baseline="0">
              <a:solidFill>
                <a:srgbClr val="0070C0"/>
              </a:solidFill>
              <a:latin typeface="BMW Group Condensed" panose="020B0606020202020204" pitchFamily="34" charset="0"/>
              <a:cs typeface="Calibri"/>
            </a:rPr>
            <a:t>serviceinclusive.br@bmw.com.br</a:t>
          </a:r>
        </a:p>
        <a:p>
          <a:pPr algn="l" rtl="0">
            <a:lnSpc>
              <a:spcPts val="1100"/>
            </a:lnSpc>
            <a:defRPr sz="1000"/>
          </a:pPr>
          <a:endParaRPr lang="pt-BR" sz="1400" b="1" i="0" u="sng" strike="noStrike" baseline="0">
            <a:solidFill>
              <a:srgbClr val="0070C0"/>
            </a:solidFill>
            <a:latin typeface="BMW Group Condensed" panose="020B0606020202020204" pitchFamily="34" charset="0"/>
            <a:cs typeface="Calibri"/>
          </a:endParaRPr>
        </a:p>
      </xdr:txBody>
    </xdr:sp>
    <xdr:clientData/>
  </xdr:twoCellAnchor>
  <xdr:twoCellAnchor>
    <xdr:from>
      <xdr:col>1</xdr:col>
      <xdr:colOff>8487335</xdr:colOff>
      <xdr:row>1</xdr:row>
      <xdr:rowOff>0</xdr:rowOff>
    </xdr:from>
    <xdr:to>
      <xdr:col>1</xdr:col>
      <xdr:colOff>10328275</xdr:colOff>
      <xdr:row>3</xdr:row>
      <xdr:rowOff>65018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57DDB1C0-99CA-C3F3-1D24-0C345ECC0084}"/>
            </a:ext>
          </a:extLst>
        </xdr:cNvPr>
        <xdr:cNvGrpSpPr/>
      </xdr:nvGrpSpPr>
      <xdr:grpSpPr>
        <a:xfrm>
          <a:off x="8677835" y="190500"/>
          <a:ext cx="1840940" cy="650125"/>
          <a:chOff x="8681723" y="194388"/>
          <a:chExt cx="1840940" cy="648181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161AA81C-4B50-495E-9C05-8877FC6578A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clrChange>
              <a:clrFrom>
                <a:srgbClr val="000000"/>
              </a:clrFrom>
              <a:clrTo>
                <a:srgbClr val="000000">
                  <a:alpha val="0"/>
                </a:srgbClr>
              </a:clrTo>
            </a:clrChange>
          </a:blip>
          <a:srcRect r="58540"/>
          <a:stretch/>
        </xdr:blipFill>
        <xdr:spPr>
          <a:xfrm>
            <a:off x="8681723" y="194388"/>
            <a:ext cx="736547" cy="648181"/>
          </a:xfrm>
          <a:prstGeom prst="rect">
            <a:avLst/>
          </a:prstGeom>
        </xdr:spPr>
      </xdr:pic>
      <xdr:pic>
        <xdr:nvPicPr>
          <xdr:cNvPr id="11" name="Picture 11">
            <a:extLst>
              <a:ext uri="{FF2B5EF4-FFF2-40B4-BE49-F238E27FC236}">
                <a16:creationId xmlns:a16="http://schemas.microsoft.com/office/drawing/2014/main" id="{20D27DDE-CB60-43DE-AF23-E1761E7DCC4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503488" y="299364"/>
            <a:ext cx="1019175" cy="43822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</xdr:col>
      <xdr:colOff>8242300</xdr:colOff>
      <xdr:row>8</xdr:row>
      <xdr:rowOff>50800</xdr:rowOff>
    </xdr:from>
    <xdr:to>
      <xdr:col>1</xdr:col>
      <xdr:colOff>8724900</xdr:colOff>
      <xdr:row>9</xdr:row>
      <xdr:rowOff>38100</xdr:rowOff>
    </xdr:to>
    <xdr:sp macro="" textlink="">
      <xdr:nvSpPr>
        <xdr:cNvPr id="12" name="Seta: para a Direita Listrada 11">
          <a:extLst>
            <a:ext uri="{FF2B5EF4-FFF2-40B4-BE49-F238E27FC236}">
              <a16:creationId xmlns:a16="http://schemas.microsoft.com/office/drawing/2014/main" id="{90971C99-DB8C-F1F2-E6D9-36C438A6DBCF}"/>
            </a:ext>
          </a:extLst>
        </xdr:cNvPr>
        <xdr:cNvSpPr/>
      </xdr:nvSpPr>
      <xdr:spPr>
        <a:xfrm>
          <a:off x="8432800" y="2349500"/>
          <a:ext cx="482600" cy="330200"/>
        </a:xfrm>
        <a:prstGeom prst="striped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8943041</xdr:colOff>
      <xdr:row>7</xdr:row>
      <xdr:rowOff>145461</xdr:rowOff>
    </xdr:from>
    <xdr:to>
      <xdr:col>1</xdr:col>
      <xdr:colOff>9637841</xdr:colOff>
      <xdr:row>9</xdr:row>
      <xdr:rowOff>186384</xdr:rowOff>
    </xdr:to>
    <xdr:pic>
      <xdr:nvPicPr>
        <xdr:cNvPr id="3" name="Picture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5AFE3A8-3583-4A2F-A7EA-DF9E66981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screen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133541" y="2101261"/>
          <a:ext cx="694800" cy="726723"/>
        </a:xfrm>
        <a:prstGeom prst="rect">
          <a:avLst/>
        </a:prstGeom>
      </xdr:spPr>
    </xdr:pic>
    <xdr:clientData/>
  </xdr:twoCellAnchor>
  <xdr:twoCellAnchor>
    <xdr:from>
      <xdr:col>2</xdr:col>
      <xdr:colOff>12700</xdr:colOff>
      <xdr:row>0</xdr:row>
      <xdr:rowOff>1</xdr:rowOff>
    </xdr:from>
    <xdr:to>
      <xdr:col>2</xdr:col>
      <xdr:colOff>4978400</xdr:colOff>
      <xdr:row>21</xdr:row>
      <xdr:rowOff>93647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CE1F6B7B-8E89-440C-97C3-04B8761FB78B}"/>
            </a:ext>
          </a:extLst>
        </xdr:cNvPr>
        <xdr:cNvGrpSpPr/>
      </xdr:nvGrpSpPr>
      <xdr:grpSpPr>
        <a:xfrm>
          <a:off x="10707914" y="1"/>
          <a:ext cx="4965700" cy="6747539"/>
          <a:chOff x="6119" y="1"/>
          <a:chExt cx="5438912" cy="7182892"/>
        </a:xfrm>
      </xdr:grpSpPr>
      <xdr:pic>
        <xdr:nvPicPr>
          <xdr:cNvPr id="14" name="Imagem 13">
            <a:extLst>
              <a:ext uri="{FF2B5EF4-FFF2-40B4-BE49-F238E27FC236}">
                <a16:creationId xmlns:a16="http://schemas.microsoft.com/office/drawing/2014/main" id="{6E267188-803E-7C99-F83A-65A1FFEFF6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6119" y="1"/>
            <a:ext cx="5436000" cy="3591181"/>
          </a:xfrm>
          <a:prstGeom prst="rect">
            <a:avLst/>
          </a:prstGeom>
        </xdr:spPr>
      </xdr:pic>
      <xdr:pic>
        <xdr:nvPicPr>
          <xdr:cNvPr id="15" name="Imagem 14">
            <a:extLst>
              <a:ext uri="{FF2B5EF4-FFF2-40B4-BE49-F238E27FC236}">
                <a16:creationId xmlns:a16="http://schemas.microsoft.com/office/drawing/2014/main" id="{C5668C5E-14FA-170D-FE24-9A9D317CB7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6119" y="3581399"/>
            <a:ext cx="5438912" cy="3601494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71438</xdr:colOff>
      <xdr:row>24</xdr:row>
      <xdr:rowOff>50004</xdr:rowOff>
    </xdr:from>
    <xdr:to>
      <xdr:col>15</xdr:col>
      <xdr:colOff>47625</xdr:colOff>
      <xdr:row>30</xdr:row>
      <xdr:rowOff>126785</xdr:rowOff>
    </xdr:to>
    <xdr:sp macro="[0]!Send_email_Service_Inclusive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E301F6D-86F9-5B7A-93DB-1947533391A4}"/>
            </a:ext>
          </a:extLst>
        </xdr:cNvPr>
        <xdr:cNvSpPr/>
      </xdr:nvSpPr>
      <xdr:spPr>
        <a:xfrm>
          <a:off x="13037344" y="4705348"/>
          <a:ext cx="1690687" cy="684000"/>
        </a:xfrm>
        <a:prstGeom prst="roundRect">
          <a:avLst/>
        </a:prstGeom>
        <a:solidFill>
          <a:srgbClr val="305496"/>
        </a:solidFill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/>
            <a:t>Gerar</a:t>
          </a:r>
          <a:r>
            <a:rPr lang="pt-BR" sz="1400" baseline="0"/>
            <a:t> e-mail para envio</a:t>
          </a:r>
          <a:endParaRPr lang="pt-BR" sz="1400"/>
        </a:p>
      </xdr:txBody>
    </xdr:sp>
    <xdr:clientData/>
  </xdr:twoCellAnchor>
  <xdr:twoCellAnchor>
    <xdr:from>
      <xdr:col>3</xdr:col>
      <xdr:colOff>38100</xdr:colOff>
      <xdr:row>28</xdr:row>
      <xdr:rowOff>9525</xdr:rowOff>
    </xdr:from>
    <xdr:to>
      <xdr:col>3</xdr:col>
      <xdr:colOff>276225</xdr:colOff>
      <xdr:row>29</xdr:row>
      <xdr:rowOff>171450</xdr:rowOff>
    </xdr:to>
    <xdr:sp macro="" textlink="">
      <xdr:nvSpPr>
        <xdr:cNvPr id="4" name="Seta: Divisa 3">
          <a:extLst>
            <a:ext uri="{FF2B5EF4-FFF2-40B4-BE49-F238E27FC236}">
              <a16:creationId xmlns:a16="http://schemas.microsoft.com/office/drawing/2014/main" id="{837F4932-3F88-2AB9-A276-A573AD0B5C4B}"/>
            </a:ext>
          </a:extLst>
        </xdr:cNvPr>
        <xdr:cNvSpPr/>
      </xdr:nvSpPr>
      <xdr:spPr>
        <a:xfrm>
          <a:off x="2495550" y="4972050"/>
          <a:ext cx="238125" cy="390525"/>
        </a:xfrm>
        <a:prstGeom prst="chevron">
          <a:avLst/>
        </a:prstGeom>
        <a:solidFill>
          <a:schemeClr val="tx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1091283</xdr:colOff>
      <xdr:row>1</xdr:row>
      <xdr:rowOff>87417</xdr:rowOff>
    </xdr:from>
    <xdr:to>
      <xdr:col>9</xdr:col>
      <xdr:colOff>247651</xdr:colOff>
      <xdr:row>3</xdr:row>
      <xdr:rowOff>115358</xdr:rowOff>
    </xdr:to>
    <xdr:sp macro="" textlink="">
      <xdr:nvSpPr>
        <xdr:cNvPr id="11" name="SmartArt-Platzhalter 5">
          <a:extLst>
            <a:ext uri="{FF2B5EF4-FFF2-40B4-BE49-F238E27FC236}">
              <a16:creationId xmlns:a16="http://schemas.microsoft.com/office/drawing/2014/main" id="{C2CA3BA1-6B46-4B79-AAB3-FE1AF5A96751}"/>
            </a:ext>
          </a:extLst>
        </xdr:cNvPr>
        <xdr:cNvSpPr>
          <a:spLocks noGrp="1"/>
        </xdr:cNvSpPr>
      </xdr:nvSpPr>
      <xdr:spPr>
        <a:xfrm>
          <a:off x="8939883" y="182667"/>
          <a:ext cx="1213768" cy="408941"/>
        </a:xfrm>
        <a:prstGeom prst="rect">
          <a:avLst/>
        </a:prstGeom>
        <a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a:blipFill>
      </xdr:spPr>
      <xdr:txBody>
        <a:bodyPr vert="horz" wrap="square" lIns="0" tIns="0" rIns="0" bIns="0" rtlCol="0">
          <a:noAutofit/>
        </a:bodyPr>
        <a:lstStyle/>
        <a:p>
          <a:endParaRPr lang="pt-BR"/>
        </a:p>
      </xdr:txBody>
    </xdr:sp>
    <xdr:clientData/>
  </xdr:twoCellAnchor>
  <xdr:twoCellAnchor>
    <xdr:from>
      <xdr:col>11</xdr:col>
      <xdr:colOff>440529</xdr:colOff>
      <xdr:row>24</xdr:row>
      <xdr:rowOff>47626</xdr:rowOff>
    </xdr:from>
    <xdr:to>
      <xdr:col>12</xdr:col>
      <xdr:colOff>1680091</xdr:colOff>
      <xdr:row>30</xdr:row>
      <xdr:rowOff>124407</xdr:rowOff>
    </xdr:to>
    <xdr:sp macro="[0]!Imprimi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65633FD-A3E1-F9BA-644C-302CA4760E60}"/>
            </a:ext>
          </a:extLst>
        </xdr:cNvPr>
        <xdr:cNvSpPr/>
      </xdr:nvSpPr>
      <xdr:spPr>
        <a:xfrm>
          <a:off x="10929935" y="4702970"/>
          <a:ext cx="1692000" cy="684000"/>
        </a:xfrm>
        <a:prstGeom prst="roundRect">
          <a:avLst/>
        </a:prstGeom>
        <a:solidFill>
          <a:srgbClr val="305496"/>
        </a:solidFill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>
              <a:solidFill>
                <a:schemeClr val="lt1"/>
              </a:solidFill>
              <a:latin typeface="+mn-lt"/>
              <a:ea typeface="+mn-ea"/>
              <a:cs typeface="+mn-cs"/>
            </a:rPr>
            <a:t>Imprimir </a:t>
          </a:r>
          <a:br>
            <a:rPr lang="pt-BR" sz="1400">
              <a:solidFill>
                <a:schemeClr val="lt1"/>
              </a:solidFill>
              <a:latin typeface="+mn-lt"/>
              <a:ea typeface="+mn-ea"/>
              <a:cs typeface="+mn-cs"/>
            </a:rPr>
          </a:br>
          <a:r>
            <a:rPr lang="pt-BR" sz="1400">
              <a:solidFill>
                <a:schemeClr val="lt1"/>
              </a:solidFill>
              <a:latin typeface="+mn-lt"/>
              <a:ea typeface="+mn-ea"/>
              <a:cs typeface="+mn-cs"/>
            </a:rPr>
            <a:t>Termo de adesão</a:t>
          </a:r>
        </a:p>
      </xdr:txBody>
    </xdr:sp>
    <xdr:clientData/>
  </xdr:twoCellAnchor>
  <xdr:twoCellAnchor>
    <xdr:from>
      <xdr:col>8</xdr:col>
      <xdr:colOff>977901</xdr:colOff>
      <xdr:row>5</xdr:row>
      <xdr:rowOff>57151</xdr:rowOff>
    </xdr:from>
    <xdr:to>
      <xdr:col>9</xdr:col>
      <xdr:colOff>25401</xdr:colOff>
      <xdr:row>8</xdr:row>
      <xdr:rowOff>57150</xdr:rowOff>
    </xdr:to>
    <xdr:sp macro="[0]!Limpar_Registr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C8F8B71-C30F-7862-2E96-520AD88F6EA4}"/>
            </a:ext>
          </a:extLst>
        </xdr:cNvPr>
        <xdr:cNvSpPr/>
      </xdr:nvSpPr>
      <xdr:spPr>
        <a:xfrm>
          <a:off x="8839201" y="920751"/>
          <a:ext cx="1104900" cy="609599"/>
        </a:xfrm>
        <a:prstGeom prst="roundRect">
          <a:avLst/>
        </a:prstGeom>
        <a:solidFill>
          <a:srgbClr val="305496"/>
        </a:solidFill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>
              <a:solidFill>
                <a:schemeClr val="lt1"/>
              </a:solidFill>
              <a:latin typeface="+mn-lt"/>
              <a:ea typeface="+mn-ea"/>
              <a:cs typeface="+mn-cs"/>
            </a:rPr>
            <a:t>Limpar Registro</a:t>
          </a:r>
        </a:p>
      </xdr:txBody>
    </xdr:sp>
    <xdr:clientData/>
  </xdr:twoCellAnchor>
  <xdr:twoCellAnchor>
    <xdr:from>
      <xdr:col>8</xdr:col>
      <xdr:colOff>114300</xdr:colOff>
      <xdr:row>5</xdr:row>
      <xdr:rowOff>76199</xdr:rowOff>
    </xdr:from>
    <xdr:to>
      <xdr:col>8</xdr:col>
      <xdr:colOff>1016000</xdr:colOff>
      <xdr:row>8</xdr:row>
      <xdr:rowOff>177798</xdr:rowOff>
    </xdr:to>
    <xdr:grpSp>
      <xdr:nvGrpSpPr>
        <xdr:cNvPr id="6" name="Grupo 10">
          <a:extLst>
            <a:ext uri="{FF2B5EF4-FFF2-40B4-BE49-F238E27FC236}">
              <a16:creationId xmlns:a16="http://schemas.microsoft.com/office/drawing/2014/main" id="{2FBC55C8-54C8-410F-BA20-2513F6285262}"/>
            </a:ext>
          </a:extLst>
        </xdr:cNvPr>
        <xdr:cNvGrpSpPr/>
      </xdr:nvGrpSpPr>
      <xdr:grpSpPr>
        <a:xfrm>
          <a:off x="7960519" y="933449"/>
          <a:ext cx="901700" cy="708818"/>
          <a:chOff x="5195587" y="5932083"/>
          <a:chExt cx="797898" cy="678820"/>
        </a:xfrm>
      </xdr:grpSpPr>
      <xdr:pic>
        <xdr:nvPicPr>
          <xdr:cNvPr id="7" name="Picture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12E95EE-E804-90E8-A4F2-F7FEC7F196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 rot="10800000" flipV="1">
            <a:off x="5325791" y="5932083"/>
            <a:ext cx="334296" cy="378555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A99084AF-EE70-6AA0-D169-FE843CDD5A12}"/>
              </a:ext>
            </a:extLst>
          </xdr:cNvPr>
          <xdr:cNvSpPr/>
        </xdr:nvSpPr>
        <xdr:spPr>
          <a:xfrm>
            <a:off x="5195587" y="6348538"/>
            <a:ext cx="797898" cy="26236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BMW Group Condensed" panose="020B0606020202020204" pitchFamily="34" charset="0"/>
              </a:rPr>
              <a:t>INSTRUÇÕES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enis.martins\Downloads\Formul&#225;rio_de_Venda_SI_09.20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VENDA"/>
      <sheetName val="EXTENSÃO OU UPGRADE"/>
      <sheetName val="Controle"/>
      <sheetName val="Preços novos_seminovos"/>
    </sheetNames>
    <sheetDataSet>
      <sheetData sheetId="0"/>
      <sheetData sheetId="1" refreshError="1"/>
      <sheetData sheetId="2" refreshError="1"/>
      <sheetData sheetId="3"/>
      <sheetData sheetId="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7848DC-E206-4E4A-BE36-375B1825A50F}" name="Valor_a_pagar" displayName="Valor_a_pagar" ref="O21:O22" totalsRowShown="0" headerRowDxfId="29" dataDxfId="27" headerRowBorderDxfId="28" tableBorderDxfId="26" totalsRowBorderDxfId="25" dataCellStyle="Moeda">
  <autoFilter ref="O21:O22" xr:uid="{D67848DC-E206-4E4A-BE36-375B1825A50F}">
    <filterColumn colId="0" hiddenButton="1"/>
  </autoFilter>
  <tableColumns count="1">
    <tableColumn id="1" xr3:uid="{34D66663-51B5-45AA-8F5B-F5090D18D13F}" name="VALOR A PAGAR" dataDxfId="24" dataCellStyle="Moeda">
      <calculatedColumnFormula>IF(_xlfn.XOR(O15="Pacote não encontrado.",O15="Pacote anterior maior que a proposta!",O15="Favor preenhcer o campo DATA DE INÍCIO DA GARANTIA",O15="Favor preencher o campo KM INICIAL DO PACOTE ANTERIOR"),"",IF(I24="Sim",cálculo!C12,cálculo!C9))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31D4AF1-49A8-412D-8389-49D98F465CF0}" name="Tabela6" displayName="Tabela6" ref="A1:B21" totalsRowShown="0">
  <autoFilter ref="A1:B21" xr:uid="{931D4AF1-49A8-412D-8389-49D98F465CF0}"/>
  <tableColumns count="2">
    <tableColumn id="1" xr3:uid="{120EDA41-B598-470B-9FF9-81EF70823ACB}" name="id"/>
    <tableColumn id="2" xr3:uid="{00143054-5A41-4201-8243-8A8EC9CB09FA}" name="descrição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33E055-5148-4092-85E9-5A12838BB602}" name="tres" displayName="tres" ref="O1:O4" totalsRowShown="0" headerRowDxfId="11" dataDxfId="10">
  <autoFilter ref="O1:O4" xr:uid="{CA33E055-5148-4092-85E9-5A12838BB602}"/>
  <tableColumns count="1">
    <tableColumn id="1" xr3:uid="{65136FDC-784F-4EC2-A7E7-E83D288ADA9C}" name="3 anos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5C830D-ECCF-4C53-A2E3-1F567B16D151}" name="quatro" displayName="quatro" ref="P1:P6" totalsRowShown="0" headerRowDxfId="8" dataDxfId="7">
  <autoFilter ref="P1:P6" xr:uid="{8B5C830D-ECCF-4C53-A2E3-1F567B16D151}"/>
  <tableColumns count="1">
    <tableColumn id="1" xr3:uid="{811D51AE-5E90-49CC-9FF2-2795A3D241C2}" name="4 anos" dataDxfId="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3EE4577-C198-4BC1-AFE0-C084C4E2FFFC}" name="cinco" displayName="cinco" ref="Q1:Q4" totalsRowShown="0" headerRowDxfId="5" dataDxfId="4">
  <autoFilter ref="Q1:Q4" xr:uid="{73EE4577-C198-4BC1-AFE0-C084C4E2FFFC}"/>
  <tableColumns count="1">
    <tableColumn id="1" xr3:uid="{0C90EE4C-F810-49D4-8844-79B22ECEFC05}" name="5 anos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C85A33-3E69-4797-B43C-4A74D1A29814}" name="seis" displayName="seis" ref="R1:R3" totalsRowShown="0" headerRowDxfId="2">
  <autoFilter ref="R1:R3" xr:uid="{7BC85A33-3E69-4797-B43C-4A74D1A29814}"/>
  <tableColumns count="1">
    <tableColumn id="1" xr3:uid="{8A9D0644-BA81-49BD-B182-6A7BE2263A94}" name="6 an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2733A-8A26-486A-A71D-7BBD78218DA3}">
  <sheetPr codeName="Planilha9">
    <tabColor rgb="FFFF0000"/>
  </sheetPr>
  <dimension ref="A1:F17"/>
  <sheetViews>
    <sheetView workbookViewId="0">
      <selection activeCell="F2" sqref="F2"/>
    </sheetView>
  </sheetViews>
  <sheetFormatPr defaultRowHeight="15"/>
  <cols>
    <col min="2" max="2" width="14.85546875" bestFit="1" customWidth="1"/>
    <col min="3" max="3" width="12" bestFit="1" customWidth="1"/>
    <col min="6" max="6" width="44.85546875" customWidth="1"/>
  </cols>
  <sheetData>
    <row r="1" spans="1:6">
      <c r="B1" t="s">
        <v>399</v>
      </c>
      <c r="C1" t="s">
        <v>471</v>
      </c>
      <c r="D1" t="s">
        <v>404</v>
      </c>
      <c r="E1" t="s">
        <v>400</v>
      </c>
      <c r="F1" t="s">
        <v>473</v>
      </c>
    </row>
    <row r="2" spans="1:6">
      <c r="A2">
        <v>1</v>
      </c>
      <c r="B2" t="s">
        <v>401</v>
      </c>
      <c r="C2" t="s">
        <v>402</v>
      </c>
      <c r="D2" t="s">
        <v>405</v>
      </c>
      <c r="E2" t="s">
        <v>472</v>
      </c>
    </row>
    <row r="3" spans="1:6">
      <c r="A3">
        <f>A2+1</f>
        <v>2</v>
      </c>
      <c r="B3" t="s">
        <v>401</v>
      </c>
      <c r="C3" t="s">
        <v>403</v>
      </c>
      <c r="D3" t="s">
        <v>405</v>
      </c>
      <c r="E3" t="s">
        <v>472</v>
      </c>
    </row>
    <row r="4" spans="1:6">
      <c r="A4">
        <f t="shared" ref="A4:A17" si="0">A3+1</f>
        <v>3</v>
      </c>
      <c r="B4" t="s">
        <v>406</v>
      </c>
      <c r="C4" t="s">
        <v>402</v>
      </c>
      <c r="D4" t="s">
        <v>405</v>
      </c>
      <c r="E4" t="s">
        <v>472</v>
      </c>
    </row>
    <row r="5" spans="1:6">
      <c r="A5">
        <f t="shared" si="0"/>
        <v>4</v>
      </c>
      <c r="B5" t="s">
        <v>406</v>
      </c>
      <c r="C5" t="s">
        <v>403</v>
      </c>
      <c r="D5" t="s">
        <v>405</v>
      </c>
      <c r="E5" t="s">
        <v>472</v>
      </c>
    </row>
    <row r="6" spans="1:6">
      <c r="A6">
        <f t="shared" si="0"/>
        <v>5</v>
      </c>
      <c r="B6" t="s">
        <v>401</v>
      </c>
      <c r="C6" t="s">
        <v>402</v>
      </c>
      <c r="D6" t="s">
        <v>124</v>
      </c>
      <c r="E6" t="s">
        <v>472</v>
      </c>
    </row>
    <row r="7" spans="1:6">
      <c r="A7">
        <f t="shared" si="0"/>
        <v>6</v>
      </c>
      <c r="B7" t="s">
        <v>401</v>
      </c>
      <c r="C7" t="s">
        <v>403</v>
      </c>
      <c r="D7" t="s">
        <v>124</v>
      </c>
      <c r="E7" t="s">
        <v>472</v>
      </c>
    </row>
    <row r="8" spans="1:6">
      <c r="A8">
        <f t="shared" si="0"/>
        <v>7</v>
      </c>
      <c r="B8" t="s">
        <v>406</v>
      </c>
      <c r="C8" t="s">
        <v>402</v>
      </c>
      <c r="D8" t="s">
        <v>124</v>
      </c>
      <c r="E8" t="s">
        <v>472</v>
      </c>
    </row>
    <row r="9" spans="1:6">
      <c r="A9">
        <f t="shared" si="0"/>
        <v>8</v>
      </c>
      <c r="B9" t="s">
        <v>406</v>
      </c>
      <c r="C9" t="s">
        <v>403</v>
      </c>
      <c r="D9" t="s">
        <v>124</v>
      </c>
      <c r="E9" t="s">
        <v>472</v>
      </c>
    </row>
    <row r="10" spans="1:6">
      <c r="A10">
        <f t="shared" si="0"/>
        <v>9</v>
      </c>
      <c r="B10" t="s">
        <v>401</v>
      </c>
      <c r="C10" t="s">
        <v>402</v>
      </c>
      <c r="D10" t="s">
        <v>405</v>
      </c>
      <c r="E10" t="s">
        <v>41</v>
      </c>
    </row>
    <row r="11" spans="1:6">
      <c r="A11">
        <f t="shared" si="0"/>
        <v>10</v>
      </c>
      <c r="B11" t="s">
        <v>401</v>
      </c>
      <c r="C11" t="s">
        <v>403</v>
      </c>
      <c r="D11" t="s">
        <v>405</v>
      </c>
      <c r="E11" t="s">
        <v>41</v>
      </c>
    </row>
    <row r="12" spans="1:6">
      <c r="A12">
        <f t="shared" si="0"/>
        <v>11</v>
      </c>
      <c r="B12" t="s">
        <v>406</v>
      </c>
      <c r="C12" t="s">
        <v>402</v>
      </c>
      <c r="D12" t="s">
        <v>405</v>
      </c>
      <c r="E12" t="s">
        <v>41</v>
      </c>
    </row>
    <row r="13" spans="1:6">
      <c r="A13">
        <f t="shared" si="0"/>
        <v>12</v>
      </c>
      <c r="B13" t="s">
        <v>406</v>
      </c>
      <c r="C13" t="s">
        <v>403</v>
      </c>
      <c r="D13" t="s">
        <v>405</v>
      </c>
      <c r="E13" t="s">
        <v>41</v>
      </c>
    </row>
    <row r="14" spans="1:6">
      <c r="A14">
        <f t="shared" si="0"/>
        <v>13</v>
      </c>
      <c r="B14" t="s">
        <v>401</v>
      </c>
      <c r="C14" t="s">
        <v>402</v>
      </c>
      <c r="D14" t="s">
        <v>124</v>
      </c>
      <c r="E14" t="s">
        <v>41</v>
      </c>
    </row>
    <row r="15" spans="1:6">
      <c r="A15">
        <f t="shared" si="0"/>
        <v>14</v>
      </c>
      <c r="B15" t="s">
        <v>401</v>
      </c>
      <c r="C15" t="s">
        <v>403</v>
      </c>
      <c r="D15" t="s">
        <v>124</v>
      </c>
      <c r="E15" t="s">
        <v>41</v>
      </c>
    </row>
    <row r="16" spans="1:6">
      <c r="A16">
        <f t="shared" si="0"/>
        <v>15</v>
      </c>
      <c r="B16" t="s">
        <v>406</v>
      </c>
      <c r="C16" t="s">
        <v>402</v>
      </c>
      <c r="D16" t="s">
        <v>124</v>
      </c>
      <c r="E16" t="s">
        <v>41</v>
      </c>
    </row>
    <row r="17" spans="1:5">
      <c r="A17">
        <f t="shared" si="0"/>
        <v>16</v>
      </c>
      <c r="B17" t="s">
        <v>406</v>
      </c>
      <c r="C17" t="s">
        <v>403</v>
      </c>
      <c r="D17" t="s">
        <v>124</v>
      </c>
      <c r="E17" t="s">
        <v>41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90E5D-4F0D-417F-8AE8-69113CB31B3E}">
  <sheetPr codeName="Plan2"/>
  <dimension ref="A1:K49"/>
  <sheetViews>
    <sheetView showGridLines="0" showRowColHeaders="0" tabSelected="1" zoomScale="70" zoomScaleNormal="70" zoomScaleSheetLayoutView="85" workbookViewId="0">
      <selection activeCell="B29" sqref="B29:K29"/>
    </sheetView>
  </sheetViews>
  <sheetFormatPr defaultColWidth="0" defaultRowHeight="15" customHeight="1" zeroHeight="1"/>
  <cols>
    <col min="1" max="1" width="2.85546875" customWidth="1"/>
    <col min="2" max="2" width="157.5703125" customWidth="1"/>
    <col min="3" max="3" width="75.28515625" customWidth="1"/>
    <col min="4" max="11" width="0" hidden="1" customWidth="1"/>
    <col min="12" max="16384" width="8.85546875" hidden="1"/>
  </cols>
  <sheetData>
    <row r="1" spans="2:2"/>
    <row r="2" spans="2:2"/>
    <row r="3" spans="2:2" ht="30.75">
      <c r="B3" s="56" t="s">
        <v>474</v>
      </c>
    </row>
    <row r="4" spans="2:2"/>
    <row r="5" spans="2:2" ht="54">
      <c r="B5" s="58" t="s">
        <v>479</v>
      </c>
    </row>
    <row r="6" spans="2:2">
      <c r="B6" s="57"/>
    </row>
    <row r="7" spans="2:2" ht="27" customHeight="1">
      <c r="B7" s="59" t="s">
        <v>475</v>
      </c>
    </row>
    <row r="8" spans="2:2" ht="27" customHeight="1">
      <c r="B8" s="60" t="s">
        <v>478</v>
      </c>
    </row>
    <row r="9" spans="2:2" ht="27" customHeight="1">
      <c r="B9" s="60" t="s">
        <v>483</v>
      </c>
    </row>
    <row r="10" spans="2:2" ht="27" customHeight="1">
      <c r="B10" s="60" t="s">
        <v>476</v>
      </c>
    </row>
    <row r="11" spans="2:2" ht="27" customHeight="1">
      <c r="B11" s="60" t="s">
        <v>477</v>
      </c>
    </row>
    <row r="12" spans="2:2" ht="27" customHeight="1">
      <c r="B12" s="60" t="s">
        <v>484</v>
      </c>
    </row>
    <row r="13" spans="2:2" ht="27" customHeight="1">
      <c r="B13" s="60" t="s">
        <v>485</v>
      </c>
    </row>
    <row r="14" spans="2:2" ht="27" customHeight="1">
      <c r="B14" s="60" t="s">
        <v>480</v>
      </c>
    </row>
    <row r="15" spans="2:2" ht="27" customHeight="1">
      <c r="B15" s="60" t="s">
        <v>481</v>
      </c>
    </row>
    <row r="16" spans="2:2" ht="27" customHeight="1">
      <c r="B16" s="60" t="s">
        <v>486</v>
      </c>
    </row>
    <row r="17" spans="2:2" ht="27" customHeight="1">
      <c r="B17" s="60" t="s">
        <v>482</v>
      </c>
    </row>
    <row r="18" spans="2:2" ht="27" customHeight="1"/>
    <row r="19" spans="2:2" ht="27" customHeight="1"/>
    <row r="20" spans="2:2" ht="15.75" customHeight="1">
      <c r="B20" s="61"/>
    </row>
    <row r="21" spans="2:2" ht="15" customHeight="1">
      <c r="B21" s="61"/>
    </row>
    <row r="22" spans="2:2" ht="15" customHeight="1">
      <c r="B22" s="61"/>
    </row>
    <row r="23" spans="2:2" ht="15" customHeight="1"/>
    <row r="24" spans="2:2" ht="15" customHeight="1"/>
    <row r="25" spans="2:2" ht="15" customHeight="1"/>
    <row r="26" spans="2:2" ht="15" customHeight="1"/>
    <row r="27" spans="2:2" ht="15" customHeight="1"/>
    <row r="28" spans="2:2" ht="15" customHeight="1"/>
    <row r="29" spans="2:2" ht="15" customHeight="1"/>
    <row r="30" spans="2:2" ht="15" customHeight="1"/>
    <row r="31" spans="2:2" ht="15" customHeight="1"/>
    <row r="32" spans="2:2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</sheetData>
  <sheetProtection sheet="1" selectLockedCells="1"/>
  <pageMargins left="0.7" right="0.7" top="0.75" bottom="0.75" header="0.3" footer="0.3"/>
  <pageSetup paperSize="9" scale="65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ED3A7-E4BA-4E24-AE5C-281691FBA4F3}"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FA317-4F52-47FD-A5C7-8EB8B18543FD}">
  <sheetPr codeName="Planilha1">
    <tabColor rgb="FF002060"/>
  </sheetPr>
  <dimension ref="A1:AE48"/>
  <sheetViews>
    <sheetView showGridLines="0" showRowColHeaders="0" topLeftCell="A19" zoomScale="80" zoomScaleNormal="80" workbookViewId="0">
      <selection activeCell="I24" sqref="I24"/>
    </sheetView>
  </sheetViews>
  <sheetFormatPr defaultRowHeight="15"/>
  <cols>
    <col min="1" max="1" width="1.5703125" customWidth="1"/>
    <col min="2" max="2" width="6.7109375" customWidth="1"/>
    <col min="3" max="3" width="41.140625" customWidth="1"/>
    <col min="4" max="4" width="4.7109375" customWidth="1"/>
    <col min="5" max="5" width="31" customWidth="1"/>
    <col min="6" max="6" width="4.7109375" customWidth="1"/>
    <col min="7" max="7" width="23.140625" bestFit="1" customWidth="1"/>
    <col min="8" max="8" width="4.7109375" customWidth="1"/>
    <col min="9" max="9" width="30.85546875" customWidth="1"/>
    <col min="10" max="10" width="6.7109375" customWidth="1"/>
    <col min="11" max="11" width="2" customWidth="1"/>
    <col min="12" max="12" width="6.7109375" customWidth="1"/>
    <col min="13" max="13" width="25.7109375" customWidth="1"/>
    <col min="14" max="14" width="4.7109375" customWidth="1"/>
    <col min="15" max="15" width="25.7109375" customWidth="1"/>
    <col min="16" max="16" width="6.7109375" customWidth="1"/>
    <col min="17" max="17" width="2" customWidth="1"/>
  </cols>
  <sheetData>
    <row r="1" spans="1:31" ht="7.5" customHeight="1" thickBot="1">
      <c r="A1" s="37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9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</row>
    <row r="2" spans="1:31" ht="15" customHeight="1">
      <c r="A2" s="40"/>
      <c r="B2" s="118" t="s">
        <v>590</v>
      </c>
      <c r="C2" s="119"/>
      <c r="D2" s="119"/>
      <c r="E2" s="119"/>
      <c r="F2" s="119"/>
      <c r="G2" s="119"/>
      <c r="H2" s="119"/>
      <c r="I2" s="119"/>
      <c r="J2" s="120"/>
      <c r="K2" s="35"/>
      <c r="L2" s="124" t="s">
        <v>591</v>
      </c>
      <c r="M2" s="125"/>
      <c r="N2" s="125"/>
      <c r="O2" s="125"/>
      <c r="P2" s="126"/>
      <c r="Q2" s="3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</row>
    <row r="3" spans="1:31" ht="15" customHeight="1">
      <c r="A3" s="40"/>
      <c r="B3" s="121"/>
      <c r="C3" s="122"/>
      <c r="D3" s="122"/>
      <c r="E3" s="122"/>
      <c r="F3" s="122"/>
      <c r="G3" s="122"/>
      <c r="H3" s="122"/>
      <c r="I3" s="122"/>
      <c r="J3" s="123"/>
      <c r="K3" s="35"/>
      <c r="L3" s="127"/>
      <c r="M3" s="128"/>
      <c r="N3" s="128"/>
      <c r="O3" s="128"/>
      <c r="P3" s="129"/>
      <c r="Q3" s="3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</row>
    <row r="4" spans="1:31" ht="15" customHeight="1">
      <c r="A4" s="40"/>
      <c r="B4" s="121"/>
      <c r="C4" s="122"/>
      <c r="D4" s="122"/>
      <c r="E4" s="122"/>
      <c r="F4" s="122"/>
      <c r="G4" s="122"/>
      <c r="H4" s="122"/>
      <c r="I4" s="122"/>
      <c r="J4" s="123"/>
      <c r="K4" s="35"/>
      <c r="L4" s="127"/>
      <c r="M4" s="128"/>
      <c r="N4" s="128"/>
      <c r="O4" s="128"/>
      <c r="P4" s="129"/>
      <c r="Q4" s="3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</row>
    <row r="5" spans="1:31">
      <c r="A5" s="40"/>
      <c r="B5" s="81" t="s">
        <v>295</v>
      </c>
      <c r="J5" s="35"/>
      <c r="K5" s="35"/>
      <c r="L5" s="40"/>
      <c r="P5" s="35"/>
      <c r="Q5" s="3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</row>
    <row r="6" spans="1:31">
      <c r="A6" s="40"/>
      <c r="B6" s="82"/>
      <c r="J6" s="35"/>
      <c r="K6" s="35"/>
      <c r="L6" s="40"/>
      <c r="P6" s="35"/>
      <c r="Q6" s="3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</row>
    <row r="7" spans="1:31" ht="18">
      <c r="A7" s="40"/>
      <c r="B7" s="82"/>
      <c r="C7" s="106" t="s">
        <v>291</v>
      </c>
      <c r="D7" s="107"/>
      <c r="E7" s="106" t="s">
        <v>290</v>
      </c>
      <c r="F7" s="107"/>
      <c r="G7" s="106" t="s">
        <v>0</v>
      </c>
      <c r="H7" s="102"/>
      <c r="I7" s="102"/>
      <c r="J7" s="35"/>
      <c r="K7" s="35"/>
      <c r="L7" s="40"/>
      <c r="M7" s="111" t="s">
        <v>298</v>
      </c>
      <c r="N7" s="9"/>
      <c r="O7" s="111" t="s">
        <v>300</v>
      </c>
      <c r="P7" s="35"/>
      <c r="Q7" s="3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</row>
    <row r="8" spans="1:31">
      <c r="A8" s="40"/>
      <c r="B8" s="82"/>
      <c r="C8" s="83">
        <v>32008</v>
      </c>
      <c r="D8" s="102"/>
      <c r="E8" s="83" t="s">
        <v>592</v>
      </c>
      <c r="F8" s="102"/>
      <c r="G8" s="83" t="s">
        <v>43</v>
      </c>
      <c r="H8" s="102"/>
      <c r="I8" s="102"/>
      <c r="J8" s="35"/>
      <c r="K8" s="35"/>
      <c r="L8" s="40"/>
      <c r="M8" s="91">
        <f>IFERROR(VLOOKUP(C8,Controle!A:D,4,0),"avalie o código inserido")</f>
        <v>32008</v>
      </c>
      <c r="O8" s="91" t="str">
        <f>IFERROR(VLOOKUP(M8,Controle!A2:C215,3,0),"")</f>
        <v>08.964.646/0001-09</v>
      </c>
      <c r="P8" s="35"/>
      <c r="Q8" s="3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</row>
    <row r="9" spans="1:31">
      <c r="A9" s="40"/>
      <c r="B9" s="84"/>
      <c r="C9" s="103"/>
      <c r="D9" s="103"/>
      <c r="E9" s="103"/>
      <c r="F9" s="103"/>
      <c r="G9" s="103"/>
      <c r="H9" s="103"/>
      <c r="I9" s="103"/>
      <c r="J9" s="85"/>
      <c r="K9" s="35"/>
      <c r="L9" s="40"/>
      <c r="P9" s="35"/>
      <c r="Q9" s="3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</row>
    <row r="10" spans="1:31">
      <c r="A10" s="40"/>
      <c r="B10" s="86" t="s">
        <v>296</v>
      </c>
      <c r="C10" s="104"/>
      <c r="D10" s="104"/>
      <c r="E10" s="104"/>
      <c r="F10" s="104"/>
      <c r="G10" s="104"/>
      <c r="H10" s="104"/>
      <c r="I10" s="104"/>
      <c r="J10" s="87"/>
      <c r="K10" s="35"/>
      <c r="L10" s="40"/>
      <c r="P10" s="35"/>
      <c r="Q10" s="3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</row>
    <row r="11" spans="1:31" ht="8.25" customHeight="1">
      <c r="A11" s="40"/>
      <c r="B11" s="82"/>
      <c r="C11" s="102"/>
      <c r="D11" s="102"/>
      <c r="E11" s="102"/>
      <c r="F11" s="102"/>
      <c r="G11" s="102"/>
      <c r="H11" s="102"/>
      <c r="I11" s="102"/>
      <c r="J11" s="35"/>
      <c r="K11" s="35"/>
      <c r="L11" s="40"/>
      <c r="P11" s="35"/>
      <c r="Q11" s="3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</row>
    <row r="12" spans="1:31" ht="18">
      <c r="A12" s="40"/>
      <c r="B12" s="82"/>
      <c r="C12" s="106" t="s">
        <v>1</v>
      </c>
      <c r="D12" s="107"/>
      <c r="E12" s="106" t="s">
        <v>326</v>
      </c>
      <c r="F12" s="107"/>
      <c r="G12" s="106" t="s">
        <v>497</v>
      </c>
      <c r="H12" s="107"/>
      <c r="I12" s="108" t="s">
        <v>5</v>
      </c>
      <c r="J12" s="35"/>
      <c r="K12" s="35"/>
      <c r="L12" s="40"/>
      <c r="M12" s="137" t="s">
        <v>299</v>
      </c>
      <c r="N12" s="138"/>
      <c r="O12" s="139"/>
      <c r="P12" s="35"/>
      <c r="Q12" s="3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</row>
    <row r="13" spans="1:31">
      <c r="A13" s="40"/>
      <c r="B13" s="82"/>
      <c r="C13" s="83" t="s">
        <v>593</v>
      </c>
      <c r="D13" s="102"/>
      <c r="E13" s="96">
        <v>15000</v>
      </c>
      <c r="F13" s="102"/>
      <c r="G13" s="83" t="s">
        <v>594</v>
      </c>
      <c r="H13" s="102"/>
      <c r="I13" s="83" t="s">
        <v>47</v>
      </c>
      <c r="J13" s="35"/>
      <c r="K13" s="35"/>
      <c r="L13" s="40"/>
      <c r="M13" s="140" t="str">
        <f>IFERROR(VLOOKUP(M8,Controle!A2:B215,2,0),"Avalie o código inserido")</f>
        <v>Euro Import - Londrina</v>
      </c>
      <c r="N13" s="140"/>
      <c r="O13" s="140"/>
      <c r="P13" s="35"/>
      <c r="Q13" s="3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</row>
    <row r="14" spans="1:31">
      <c r="A14" s="40"/>
      <c r="B14" s="82"/>
      <c r="C14" s="102"/>
      <c r="D14" s="102"/>
      <c r="E14" s="102"/>
      <c r="F14" s="102"/>
      <c r="G14" s="102"/>
      <c r="H14" s="102"/>
      <c r="I14" s="102"/>
      <c r="J14" s="35"/>
      <c r="K14" s="35"/>
      <c r="L14" s="40"/>
      <c r="P14" s="35"/>
      <c r="Q14" s="3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</row>
    <row r="15" spans="1:31" ht="18">
      <c r="A15" s="40"/>
      <c r="B15" s="82"/>
      <c r="C15" s="109" t="s">
        <v>288</v>
      </c>
      <c r="D15" s="107"/>
      <c r="E15" s="106" t="s">
        <v>289</v>
      </c>
      <c r="F15" s="107"/>
      <c r="G15" s="106" t="s">
        <v>3</v>
      </c>
      <c r="H15" s="107"/>
      <c r="I15" s="106" t="s">
        <v>2</v>
      </c>
      <c r="J15" s="35"/>
      <c r="K15" s="35"/>
      <c r="L15" s="40"/>
      <c r="M15" s="111" t="s">
        <v>302</v>
      </c>
      <c r="O15" s="141" t="str">
        <f>IFERROR(IF(I21="","Favor preenhcer o campo DATA DE INÍCIO DA GARANTIA",IF(AND(E21="USADO",I24="Sim",I27=""),"Favor preencher o campo KM INICIAL DO PACOTE ANTERIOR",IF(AND(I24="Sim",cálculo!C12&lt;0),"Pacote anterior maior que a proposta!",""))),"Pacote não encontrado.")</f>
        <v/>
      </c>
      <c r="P15" s="35"/>
      <c r="Q15" s="3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</row>
    <row r="16" spans="1:31" ht="15" customHeight="1">
      <c r="A16" s="40"/>
      <c r="B16" s="82"/>
      <c r="C16" s="83" t="s">
        <v>595</v>
      </c>
      <c r="D16" s="102"/>
      <c r="E16" s="83" t="s">
        <v>596</v>
      </c>
      <c r="F16" s="102"/>
      <c r="G16" s="97">
        <v>11999997777</v>
      </c>
      <c r="H16" s="102"/>
      <c r="I16" s="88" t="s">
        <v>597</v>
      </c>
      <c r="J16" s="35"/>
      <c r="K16" s="35"/>
      <c r="L16" s="40"/>
      <c r="M16" s="92">
        <f>IFERROR(IF(E21="NOVO",I21+365*C24,C21+365*C24),"")</f>
        <v>46083</v>
      </c>
      <c r="O16" s="142"/>
      <c r="P16" s="35"/>
      <c r="Q16" s="3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</row>
    <row r="17" spans="1:31" ht="15" customHeight="1">
      <c r="A17" s="40"/>
      <c r="B17" s="84"/>
      <c r="C17" s="103"/>
      <c r="D17" s="103"/>
      <c r="E17" s="103"/>
      <c r="F17" s="103"/>
      <c r="G17" s="103"/>
      <c r="H17" s="103"/>
      <c r="I17" s="103"/>
      <c r="J17" s="85"/>
      <c r="K17" s="35"/>
      <c r="L17" s="40"/>
      <c r="O17" s="142"/>
      <c r="P17" s="35"/>
      <c r="Q17" s="3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</row>
    <row r="18" spans="1:31" ht="18">
      <c r="A18" s="40"/>
      <c r="B18" s="86" t="s">
        <v>297</v>
      </c>
      <c r="C18" s="104"/>
      <c r="D18" s="104"/>
      <c r="E18" s="104"/>
      <c r="F18" s="104"/>
      <c r="G18" s="104"/>
      <c r="H18" s="104"/>
      <c r="I18" s="104"/>
      <c r="J18" s="87"/>
      <c r="K18" s="35"/>
      <c r="L18" s="40"/>
      <c r="M18" s="111" t="s">
        <v>303</v>
      </c>
      <c r="O18" s="142"/>
      <c r="P18" s="35"/>
      <c r="Q18" s="3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</row>
    <row r="19" spans="1:31">
      <c r="A19" s="40"/>
      <c r="B19" s="81"/>
      <c r="C19" s="102"/>
      <c r="D19" s="102"/>
      <c r="E19" s="102"/>
      <c r="F19" s="102"/>
      <c r="G19" s="102"/>
      <c r="H19" s="102"/>
      <c r="I19" s="102"/>
      <c r="J19" s="35"/>
      <c r="K19" s="35"/>
      <c r="L19" s="40"/>
      <c r="M19" s="93">
        <f>IF(E21="NOVO",E24,IF(I24="Sim",E24+I27,E24+E13))</f>
        <v>80000</v>
      </c>
      <c r="O19" s="143"/>
      <c r="P19" s="35"/>
      <c r="Q19" s="3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</row>
    <row r="20" spans="1:31" ht="18">
      <c r="A20" s="40"/>
      <c r="B20" s="81"/>
      <c r="C20" s="106" t="s">
        <v>305</v>
      </c>
      <c r="D20" s="107"/>
      <c r="E20" s="106" t="s">
        <v>4</v>
      </c>
      <c r="F20" s="107"/>
      <c r="G20" s="107"/>
      <c r="H20" s="107"/>
      <c r="I20" s="106" t="s">
        <v>282</v>
      </c>
      <c r="J20" s="35"/>
      <c r="K20" s="35"/>
      <c r="L20" s="40"/>
      <c r="P20" s="35"/>
      <c r="Q20" s="3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</row>
    <row r="21" spans="1:31" ht="18">
      <c r="A21" s="40"/>
      <c r="B21" s="81"/>
      <c r="C21" s="98">
        <v>44838</v>
      </c>
      <c r="D21" s="102"/>
      <c r="E21" s="83" t="s">
        <v>29</v>
      </c>
      <c r="F21" s="102"/>
      <c r="G21" s="102"/>
      <c r="H21" s="102"/>
      <c r="I21" s="98">
        <v>44258</v>
      </c>
      <c r="J21" s="35"/>
      <c r="K21" s="35"/>
      <c r="L21" s="40"/>
      <c r="M21" s="111" t="s">
        <v>304</v>
      </c>
      <c r="O21" s="112" t="s">
        <v>301</v>
      </c>
      <c r="P21" s="35"/>
      <c r="Q21" s="3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</row>
    <row r="22" spans="1:31" ht="15.75">
      <c r="A22" s="40"/>
      <c r="B22" s="82"/>
      <c r="C22" s="102"/>
      <c r="D22" s="102"/>
      <c r="E22" s="102"/>
      <c r="F22" s="102"/>
      <c r="G22" s="102"/>
      <c r="H22" s="102"/>
      <c r="I22" s="102"/>
      <c r="J22" s="35"/>
      <c r="K22" s="35"/>
      <c r="L22" s="40"/>
      <c r="M22" s="94" t="str">
        <f>IF(_xlfn.XOR(O15="Pacote não encontrado.",O15="Pacote anterior maior que a proposta!",O15="Favor preenhcer o campo DATA DE INÍCIO DA GARANTIA",O15="Favor preencher o campo KM INICIAL DO PACOTE ANTERIOR"),"",cálculo!C10)</f>
        <v>07N7</v>
      </c>
      <c r="O22" s="95">
        <f>IF(_xlfn.XOR(O15="Pacote não encontrado.",O15="Pacote anterior maior que a proposta!",O15="Favor preenhcer o campo DATA DE INÍCIO DA GARANTIA",O15="Favor preencher o campo KM INICIAL DO PACOTE ANTERIOR"),"",IF(I24="Sim",cálculo!C12,cálculo!C9))</f>
        <v>11321.234528644141</v>
      </c>
      <c r="P22" s="35"/>
      <c r="Q22" s="3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</row>
    <row r="23" spans="1:31" ht="18">
      <c r="A23" s="40"/>
      <c r="B23" s="82"/>
      <c r="C23" s="106" t="s">
        <v>283</v>
      </c>
      <c r="D23" s="107"/>
      <c r="E23" s="106" t="s">
        <v>6</v>
      </c>
      <c r="F23" s="107"/>
      <c r="G23" s="106" t="s">
        <v>7</v>
      </c>
      <c r="H23" s="107"/>
      <c r="I23" s="106" t="s">
        <v>293</v>
      </c>
      <c r="J23" s="35"/>
      <c r="K23" s="35"/>
      <c r="L23" s="40"/>
      <c r="P23" s="35"/>
      <c r="Q23" s="3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</row>
    <row r="24" spans="1:31">
      <c r="A24" s="40"/>
      <c r="B24" s="82"/>
      <c r="C24" s="99">
        <v>5</v>
      </c>
      <c r="D24" s="102"/>
      <c r="E24" s="96">
        <v>80000</v>
      </c>
      <c r="F24" s="102"/>
      <c r="G24" s="83" t="s">
        <v>31</v>
      </c>
      <c r="H24" s="102"/>
      <c r="I24" s="83" t="s">
        <v>9</v>
      </c>
      <c r="J24" s="35"/>
      <c r="K24" s="35"/>
      <c r="L24" s="40"/>
      <c r="P24" s="35"/>
      <c r="Q24" s="3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</row>
    <row r="25" spans="1:31">
      <c r="A25" s="40"/>
      <c r="B25" s="82"/>
      <c r="C25" s="102"/>
      <c r="D25" s="102"/>
      <c r="E25" s="102"/>
      <c r="F25" s="102"/>
      <c r="G25" s="102"/>
      <c r="H25" s="102"/>
      <c r="I25" s="102"/>
      <c r="J25" s="35"/>
      <c r="K25" s="35"/>
      <c r="L25" s="40"/>
      <c r="P25" s="35"/>
      <c r="Q25" s="3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</row>
    <row r="26" spans="1:31" ht="21" hidden="1">
      <c r="A26" s="40"/>
      <c r="B26" s="63"/>
      <c r="C26" s="100" t="s">
        <v>285</v>
      </c>
      <c r="D26" s="102"/>
      <c r="E26" s="100" t="s">
        <v>286</v>
      </c>
      <c r="F26" s="105"/>
      <c r="G26" s="100" t="s">
        <v>287</v>
      </c>
      <c r="H26" s="105"/>
      <c r="I26" s="100" t="s">
        <v>398</v>
      </c>
      <c r="J26" s="64"/>
      <c r="K26" s="35"/>
      <c r="L26" s="40"/>
      <c r="P26" s="35"/>
      <c r="Q26" s="3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</row>
    <row r="27" spans="1:31" hidden="1">
      <c r="A27" s="40"/>
      <c r="B27" s="63"/>
      <c r="C27" s="43"/>
      <c r="D27" s="102"/>
      <c r="E27" s="101"/>
      <c r="F27" s="105"/>
      <c r="G27" s="43"/>
      <c r="H27" s="105"/>
      <c r="I27" s="101"/>
      <c r="J27" s="64"/>
      <c r="K27" s="35"/>
      <c r="L27" s="40"/>
      <c r="P27" s="35"/>
      <c r="Q27" s="3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</row>
    <row r="28" spans="1:31" hidden="1">
      <c r="A28" s="40"/>
      <c r="B28" s="63"/>
      <c r="C28" s="105"/>
      <c r="D28" s="102"/>
      <c r="E28" s="105"/>
      <c r="F28" s="105"/>
      <c r="G28" s="105"/>
      <c r="H28" s="105"/>
      <c r="I28" s="105"/>
      <c r="J28" s="64"/>
      <c r="K28" s="35"/>
      <c r="L28" s="40"/>
      <c r="P28" s="35"/>
      <c r="Q28" s="3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</row>
    <row r="29" spans="1:31" ht="18">
      <c r="A29" s="40"/>
      <c r="B29" s="82"/>
      <c r="C29" s="110" t="s">
        <v>292</v>
      </c>
      <c r="D29" s="102"/>
      <c r="E29" s="131" t="str">
        <f>IF(C30="Sim","A ativação urgente somente deverá sersolicitada quando o cliente for utilizar o pacote  no mesmo dia da contratação.","")</f>
        <v/>
      </c>
      <c r="F29" s="132"/>
      <c r="G29" s="133"/>
      <c r="H29" s="102"/>
      <c r="I29" s="110" t="s">
        <v>294</v>
      </c>
      <c r="J29" s="35"/>
      <c r="K29" s="35"/>
      <c r="L29" s="40"/>
      <c r="P29" s="35"/>
      <c r="Q29" s="3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</row>
    <row r="30" spans="1:31">
      <c r="A30" s="40"/>
      <c r="B30" s="82"/>
      <c r="C30" s="83" t="s">
        <v>9</v>
      </c>
      <c r="D30" s="102"/>
      <c r="E30" s="134"/>
      <c r="F30" s="135"/>
      <c r="G30" s="136"/>
      <c r="H30" s="102"/>
      <c r="I30" s="83" t="s">
        <v>8</v>
      </c>
      <c r="J30" s="35"/>
      <c r="K30" s="35"/>
      <c r="L30" s="40"/>
      <c r="P30" s="35"/>
      <c r="Q30" s="3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</row>
    <row r="31" spans="1:31" ht="15.75" thickBot="1">
      <c r="A31" s="40"/>
      <c r="B31" s="89"/>
      <c r="C31" s="42"/>
      <c r="D31" s="42"/>
      <c r="E31" s="90"/>
      <c r="F31" s="42"/>
      <c r="G31" s="42"/>
      <c r="H31" s="42"/>
      <c r="I31" s="42"/>
      <c r="J31" s="36"/>
      <c r="K31" s="35"/>
      <c r="L31" s="41"/>
      <c r="M31" s="42"/>
      <c r="N31" s="42"/>
      <c r="O31" s="42"/>
      <c r="P31" s="36"/>
      <c r="Q31" s="3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</row>
    <row r="32" spans="1:31" ht="15.75" thickBot="1">
      <c r="A32" s="41"/>
      <c r="B32" s="130" t="s">
        <v>598</v>
      </c>
      <c r="C32" s="130"/>
      <c r="D32" s="42"/>
      <c r="E32" s="42"/>
      <c r="F32" s="42"/>
      <c r="G32" s="42"/>
      <c r="H32" s="42"/>
      <c r="I32" s="42"/>
      <c r="J32" s="55"/>
      <c r="K32" s="42"/>
      <c r="L32" s="42"/>
      <c r="M32" s="42"/>
      <c r="N32" s="42"/>
      <c r="O32" s="42"/>
      <c r="P32" s="113" t="s">
        <v>589</v>
      </c>
      <c r="Q32" s="36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</row>
    <row r="33" spans="1:31">
      <c r="A33" s="65"/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D33" s="67"/>
      <c r="AE33" s="67"/>
    </row>
    <row r="34" spans="1:31" s="19" customFormat="1">
      <c r="A34" s="66"/>
      <c r="B34" s="67">
        <f>DAY(C21)</f>
        <v>4</v>
      </c>
      <c r="C34" s="67">
        <f>MONTH(C21)</f>
        <v>10</v>
      </c>
      <c r="D34" s="67">
        <f>YEAR(C21)</f>
        <v>2022</v>
      </c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/>
      <c r="AB34" s="67"/>
      <c r="AC34" s="67"/>
      <c r="AD34" s="67"/>
      <c r="AE34" s="67"/>
    </row>
    <row r="35" spans="1:31">
      <c r="A35" s="65"/>
      <c r="B35" s="67" t="str">
        <f>IF(C30="Sim","URGENTE - ","")&amp;"VENDA SI - SOLICITAÇÃO DE REGISTRO"</f>
        <v>VENDA SI - SOLICITAÇÃO DE REGISTRO</v>
      </c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/>
      <c r="AB35" s="67"/>
      <c r="AC35" s="67"/>
      <c r="AD35" s="67"/>
      <c r="AE35" s="67"/>
    </row>
    <row r="36" spans="1:31">
      <c r="A36" s="65"/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  <c r="AA36" s="67"/>
      <c r="AB36" s="67"/>
      <c r="AC36" s="67"/>
      <c r="AD36" s="67"/>
      <c r="AE36" s="67"/>
    </row>
    <row r="37" spans="1:31">
      <c r="A37" s="65"/>
      <c r="B37" s="67"/>
      <c r="C37" s="67"/>
      <c r="D37" s="67"/>
      <c r="E37" s="67"/>
      <c r="F37" s="67"/>
      <c r="G37" s="67"/>
      <c r="H37" s="67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7"/>
      <c r="AA37" s="67"/>
      <c r="AB37" s="67"/>
      <c r="AC37" s="67"/>
      <c r="AD37" s="67"/>
      <c r="AE37" s="67"/>
    </row>
    <row r="38" spans="1:31">
      <c r="A38" s="65"/>
      <c r="B38" s="67"/>
      <c r="C38" s="67"/>
      <c r="D38" s="67"/>
      <c r="E38" s="67"/>
      <c r="F38" s="67"/>
      <c r="G38" s="67"/>
      <c r="H38" s="67"/>
      <c r="I38" s="67"/>
      <c r="J38" s="67"/>
      <c r="K38" s="67"/>
      <c r="L38" s="67"/>
      <c r="M38" s="67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7"/>
      <c r="AA38" s="67"/>
      <c r="AB38" s="67"/>
      <c r="AC38" s="67"/>
      <c r="AD38" s="67"/>
      <c r="AE38" s="67"/>
    </row>
    <row r="39" spans="1:31">
      <c r="A39" s="65"/>
      <c r="B39" s="67"/>
      <c r="C39" s="67"/>
      <c r="D39" s="67"/>
      <c r="E39" s="67"/>
      <c r="F39" s="67"/>
      <c r="G39" s="67"/>
      <c r="H39" s="67"/>
      <c r="I39" s="67"/>
      <c r="J39" s="67"/>
      <c r="K39" s="67"/>
      <c r="L39" s="67"/>
      <c r="M39" s="67"/>
      <c r="N39" s="67"/>
      <c r="O39" s="67"/>
      <c r="P39" s="67"/>
      <c r="Q39" s="67"/>
      <c r="R39" s="67"/>
      <c r="S39" s="67"/>
      <c r="T39" s="67"/>
      <c r="U39" s="67"/>
      <c r="V39" s="67"/>
      <c r="W39" s="67"/>
      <c r="X39" s="67"/>
      <c r="Y39" s="67"/>
      <c r="Z39" s="67"/>
      <c r="AA39" s="67"/>
      <c r="AB39" s="67"/>
      <c r="AC39" s="67"/>
      <c r="AD39" s="67"/>
      <c r="AE39" s="67"/>
    </row>
    <row r="40" spans="1:31">
      <c r="A40" s="65"/>
      <c r="B40" s="67"/>
      <c r="C40" s="67"/>
      <c r="D40" s="67"/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67"/>
      <c r="P40" s="67"/>
      <c r="Q40" s="67"/>
      <c r="R40" s="67"/>
      <c r="S40" s="67"/>
      <c r="T40" s="67"/>
      <c r="U40" s="67"/>
      <c r="V40" s="67"/>
      <c r="W40" s="67"/>
      <c r="X40" s="67"/>
      <c r="Y40" s="67"/>
      <c r="Z40" s="67"/>
      <c r="AA40" s="67"/>
      <c r="AB40" s="67"/>
      <c r="AC40" s="67"/>
      <c r="AD40" s="67"/>
      <c r="AE40" s="67"/>
    </row>
    <row r="41" spans="1:31">
      <c r="A41" s="65"/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/>
      <c r="U41" s="67"/>
      <c r="V41" s="67"/>
      <c r="W41" s="67"/>
      <c r="X41" s="67"/>
      <c r="Y41" s="67"/>
      <c r="Z41" s="67"/>
      <c r="AA41" s="67"/>
      <c r="AB41" s="67"/>
      <c r="AC41" s="67"/>
      <c r="AD41" s="67"/>
      <c r="AE41" s="67"/>
    </row>
    <row r="42" spans="1:31">
      <c r="A42" s="65"/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7"/>
      <c r="V42" s="67"/>
      <c r="W42" s="67"/>
      <c r="X42" s="67"/>
      <c r="Y42" s="67"/>
      <c r="Z42" s="67"/>
      <c r="AA42" s="67"/>
      <c r="AB42" s="67"/>
      <c r="AC42" s="67"/>
      <c r="AD42" s="67"/>
      <c r="AE42" s="67"/>
    </row>
    <row r="43" spans="1:31">
      <c r="A43" s="65"/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67"/>
      <c r="Q43" s="67"/>
      <c r="R43" s="67"/>
      <c r="S43" s="67"/>
      <c r="T43" s="67"/>
      <c r="U43" s="67"/>
      <c r="V43" s="67"/>
      <c r="W43" s="67"/>
      <c r="X43" s="67"/>
      <c r="Y43" s="67"/>
      <c r="Z43" s="67"/>
      <c r="AA43" s="67"/>
      <c r="AB43" s="67"/>
      <c r="AC43" s="67"/>
      <c r="AD43" s="67"/>
      <c r="AE43" s="67"/>
    </row>
    <row r="44" spans="1:31">
      <c r="A44" s="65"/>
      <c r="B44" s="67"/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7"/>
      <c r="O44" s="67"/>
      <c r="P44" s="67"/>
      <c r="Q44" s="67"/>
      <c r="R44" s="67"/>
      <c r="S44" s="67"/>
      <c r="T44" s="67"/>
      <c r="U44" s="67"/>
      <c r="V44" s="67"/>
      <c r="W44" s="67"/>
      <c r="X44" s="67"/>
      <c r="Y44" s="67"/>
      <c r="Z44" s="67"/>
      <c r="AA44" s="67"/>
      <c r="AB44" s="67"/>
      <c r="AC44" s="67"/>
      <c r="AD44" s="67"/>
      <c r="AE44" s="67"/>
    </row>
    <row r="45" spans="1:31">
      <c r="A45" s="65"/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67"/>
      <c r="P45" s="67"/>
      <c r="Q45" s="67"/>
      <c r="R45" s="67"/>
      <c r="S45" s="67"/>
      <c r="T45" s="67"/>
      <c r="U45" s="67"/>
      <c r="V45" s="67"/>
      <c r="W45" s="67"/>
      <c r="X45" s="67"/>
      <c r="Y45" s="67"/>
      <c r="Z45" s="67"/>
      <c r="AA45" s="67"/>
      <c r="AB45" s="67"/>
      <c r="AC45" s="67"/>
      <c r="AD45" s="67"/>
      <c r="AE45" s="67"/>
    </row>
    <row r="46" spans="1:31">
      <c r="A46" s="65"/>
      <c r="B46" s="67"/>
      <c r="C46" s="67"/>
      <c r="D46" s="67"/>
      <c r="E46" s="67"/>
      <c r="F46" s="67"/>
      <c r="G46" s="67"/>
      <c r="H46" s="67"/>
      <c r="I46" s="67"/>
      <c r="J46" s="67"/>
      <c r="K46" s="67"/>
      <c r="L46" s="67"/>
      <c r="M46" s="67"/>
      <c r="N46" s="67"/>
      <c r="O46" s="67"/>
      <c r="P46" s="67"/>
      <c r="Q46" s="67"/>
      <c r="R46" s="67"/>
      <c r="S46" s="67"/>
      <c r="T46" s="67"/>
      <c r="U46" s="67"/>
      <c r="V46" s="67"/>
      <c r="W46" s="67"/>
      <c r="X46" s="67"/>
      <c r="Y46" s="67"/>
      <c r="Z46" s="67"/>
      <c r="AA46" s="67"/>
      <c r="AB46" s="67"/>
      <c r="AC46" s="67"/>
      <c r="AD46" s="67"/>
      <c r="AE46" s="67"/>
    </row>
    <row r="47" spans="1:31">
      <c r="A47" s="65"/>
      <c r="B47" s="67"/>
      <c r="C47" s="67"/>
      <c r="D47" s="67"/>
      <c r="E47" s="67"/>
      <c r="F47" s="67"/>
      <c r="G47" s="67"/>
      <c r="H47" s="67"/>
      <c r="I47" s="67"/>
      <c r="J47" s="67"/>
      <c r="K47" s="67"/>
      <c r="L47" s="67"/>
      <c r="M47" s="67"/>
      <c r="N47" s="67"/>
      <c r="O47" s="67"/>
      <c r="P47" s="67"/>
      <c r="Q47" s="67"/>
      <c r="R47" s="67"/>
      <c r="S47" s="67"/>
      <c r="T47" s="67"/>
      <c r="U47" s="67"/>
      <c r="V47" s="67"/>
      <c r="W47" s="67"/>
      <c r="X47" s="67"/>
      <c r="Y47" s="67"/>
      <c r="Z47" s="67"/>
      <c r="AA47" s="67"/>
      <c r="AB47" s="67"/>
      <c r="AC47" s="67"/>
      <c r="AD47" s="67"/>
      <c r="AE47" s="67"/>
    </row>
    <row r="48" spans="1:31">
      <c r="A48" s="65"/>
      <c r="B48" s="67"/>
      <c r="C48" s="67"/>
      <c r="D48" s="67"/>
      <c r="E48" s="67"/>
      <c r="F48" s="67"/>
      <c r="G48" s="67"/>
      <c r="H48" s="67"/>
      <c r="I48" s="67"/>
      <c r="J48" s="67"/>
      <c r="K48" s="67"/>
      <c r="L48" s="67"/>
      <c r="M48" s="67"/>
      <c r="N48" s="67"/>
      <c r="O48" s="67"/>
      <c r="P48" s="67"/>
      <c r="Q48" s="67"/>
      <c r="R48" s="67"/>
      <c r="S48" s="67"/>
      <c r="T48" s="67"/>
      <c r="U48" s="67"/>
      <c r="V48" s="67"/>
      <c r="W48" s="67"/>
      <c r="X48" s="67"/>
      <c r="Y48" s="67"/>
      <c r="Z48" s="67"/>
      <c r="AA48" s="67"/>
      <c r="AB48" s="67"/>
      <c r="AC48" s="67"/>
      <c r="AD48" s="67"/>
      <c r="AE48" s="67"/>
    </row>
  </sheetData>
  <sheetProtection sheet="1" formatRows="0" selectLockedCells="1"/>
  <mergeCells count="7">
    <mergeCell ref="B2:J4"/>
    <mergeCell ref="L2:P4"/>
    <mergeCell ref="B32:C32"/>
    <mergeCell ref="E29:G30"/>
    <mergeCell ref="M12:O12"/>
    <mergeCell ref="M13:O13"/>
    <mergeCell ref="O15:O19"/>
  </mergeCells>
  <dataValidations count="2">
    <dataValidation type="custom" allowBlank="1" showInputMessage="1" showErrorMessage="1" error="Não inserir data futura! Insira uma data válida!" sqref="C21" xr:uid="{2555F49A-6326-4442-9928-675FF24DBE25}">
      <formula1>C21&lt;=TODAY()</formula1>
    </dataValidation>
    <dataValidation type="textLength" operator="equal" allowBlank="1" showInputMessage="1" showErrorMessage="1" error="O número do chassi deve conter 17 algarismos." sqref="C13" xr:uid="{681EADF0-63F1-4AFD-A70C-32E0E9832571}">
      <formula1>17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200" verticalDpi="200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EACFC42-3090-48E9-8FE1-B845D274E219}">
          <x14:formula1>
            <xm:f>Controle!$AA$2:$AA$3</xm:f>
          </x14:formula1>
          <xm:sqref>I30 I24 C30</xm:sqref>
        </x14:dataValidation>
        <x14:dataValidation type="list" allowBlank="1" showInputMessage="1" showErrorMessage="1" xr:uid="{FAC2D59E-A96D-436F-B764-7BF19B222320}">
          <x14:formula1>
            <xm:f>Controle!$Z$2:$Z$3</xm:f>
          </x14:formula1>
          <xm:sqref>G8</xm:sqref>
        </x14:dataValidation>
        <x14:dataValidation type="list" allowBlank="1" showInputMessage="1" showErrorMessage="1" xr:uid="{42E20DC4-62A6-4064-A7F3-3752D3DD66B3}">
          <x14:formula1>
            <xm:f>Controle!$F$2:$F$3</xm:f>
          </x14:formula1>
          <xm:sqref>E21</xm:sqref>
        </x14:dataValidation>
        <x14:dataValidation type="list" allowBlank="1" showInputMessage="1" showErrorMessage="1" xr:uid="{0B263FE7-DFDA-46EF-97B6-82AE4360CCD5}">
          <x14:formula1>
            <xm:f>Controle!$G$2:$G$36</xm:f>
          </x14:formula1>
          <xm:sqref>I13</xm:sqref>
        </x14:dataValidation>
        <x14:dataValidation type="list" allowBlank="1" showInputMessage="1" showErrorMessage="1" xr:uid="{24C9794E-BFEA-49C3-BBE8-D31FFCB64347}">
          <x14:formula1>
            <xm:f>Controle!$M$2:$M$5</xm:f>
          </x14:formula1>
          <xm:sqref>C24 C27</xm:sqref>
        </x14:dataValidation>
        <x14:dataValidation type="list" allowBlank="1" showInputMessage="1" showErrorMessage="1" xr:uid="{66923293-2C3C-4CB3-AC11-9B28C1B61BD8}">
          <x14:formula1>
            <xm:f>INDIRECT(cálculo!$B$2)</xm:f>
          </x14:formula1>
          <xm:sqref>E24</xm:sqref>
        </x14:dataValidation>
        <x14:dataValidation type="list" allowBlank="1" showInputMessage="1" showErrorMessage="1" xr:uid="{A9E2EACC-9434-49C4-B124-CC0342DE6487}">
          <x14:formula1>
            <xm:f>INDIRECT(cálculo!$B$3)</xm:f>
          </x14:formula1>
          <xm:sqref>E27</xm:sqref>
        </x14:dataValidation>
        <x14:dataValidation type="list" allowBlank="1" showInputMessage="1" showErrorMessage="1" xr:uid="{CB9E21AD-B12E-454F-AEAC-D25272ECEDF5}">
          <x14:formula1>
            <xm:f>Controle!$S$2:$S$3</xm:f>
          </x14:formula1>
          <xm:sqref>G24 G27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6AA18-79E7-4A0B-A483-BA5C1A921B2D}">
  <sheetPr codeName="Planilha2"/>
  <dimension ref="A1:AA2"/>
  <sheetViews>
    <sheetView topLeftCell="R1" workbookViewId="0">
      <selection activeCell="R2" sqref="R2"/>
    </sheetView>
  </sheetViews>
  <sheetFormatPr defaultRowHeight="15"/>
  <cols>
    <col min="1" max="1" width="26.7109375" bestFit="1" customWidth="1"/>
    <col min="2" max="2" width="33.42578125" bestFit="1" customWidth="1"/>
    <col min="3" max="3" width="16" bestFit="1" customWidth="1"/>
    <col min="4" max="4" width="28.42578125" bestFit="1" customWidth="1"/>
    <col min="5" max="5" width="18.7109375" bestFit="1" customWidth="1"/>
    <col min="6" max="6" width="10.28515625" bestFit="1" customWidth="1"/>
    <col min="7" max="7" width="28.140625" bestFit="1" customWidth="1"/>
    <col min="8" max="8" width="45.7109375" bestFit="1" customWidth="1"/>
    <col min="9" max="9" width="22.7109375" bestFit="1" customWidth="1"/>
    <col min="10" max="10" width="20.5703125" bestFit="1" customWidth="1"/>
    <col min="11" max="11" width="26.5703125" bestFit="1" customWidth="1"/>
    <col min="12" max="12" width="20.42578125" bestFit="1" customWidth="1"/>
    <col min="13" max="13" width="28.42578125" bestFit="1" customWidth="1"/>
    <col min="14" max="14" width="26.28515625" bestFit="1" customWidth="1"/>
    <col min="15" max="15" width="15.42578125" bestFit="1" customWidth="1"/>
    <col min="16" max="16" width="29" bestFit="1" customWidth="1"/>
    <col min="17" max="17" width="27.7109375" bestFit="1" customWidth="1"/>
    <col min="18" max="18" width="26.85546875" bestFit="1" customWidth="1"/>
    <col min="19" max="19" width="25.5703125" bestFit="1" customWidth="1"/>
    <col min="20" max="20" width="19.140625" bestFit="1" customWidth="1"/>
    <col min="21" max="21" width="15.5703125" bestFit="1" customWidth="1"/>
    <col min="22" max="22" width="18.42578125" bestFit="1" customWidth="1"/>
    <col min="23" max="23" width="34.42578125" bestFit="1" customWidth="1"/>
    <col min="24" max="24" width="34.42578125" customWidth="1"/>
    <col min="25" max="25" width="12.7109375" bestFit="1" customWidth="1"/>
    <col min="26" max="26" width="11.42578125" bestFit="1" customWidth="1"/>
  </cols>
  <sheetData>
    <row r="1" spans="1:27" s="9" customFormat="1">
      <c r="A1" s="24" t="str">
        <f>Máscara!C20</f>
        <v>DATA DA VENDA DO PACOTE</v>
      </c>
      <c r="B1" s="24" t="str">
        <f>Máscara!E7</f>
        <v>NOME DO VENDEDOR / CONSULTOR</v>
      </c>
      <c r="C1" s="24" t="str">
        <f>Máscara!G7</f>
        <v>DEPARTAMENTO</v>
      </c>
      <c r="D1" s="24" t="str">
        <f>Máscara!M7</f>
        <v>CÓDIGO DO CONCESSIONÁRIO</v>
      </c>
      <c r="E1" s="24" t="str">
        <f>Máscara!C12</f>
        <v>CHASSI</v>
      </c>
      <c r="F1" s="24" t="str">
        <f>Máscara!E12</f>
        <v>KM ATUAL</v>
      </c>
      <c r="G1" s="24" t="str">
        <f>Máscara!I20</f>
        <v>DATA DE INÍCIO DA GARANTIA</v>
      </c>
      <c r="H1" s="24" t="str">
        <f>Máscara!C15</f>
        <v>NOME COMPLETO  OU RAZÃO SOCIAL DO CLIENTE</v>
      </c>
      <c r="I1" s="24" t="str">
        <f>Máscara!I15</f>
        <v>E-MAIL DO CLIENTE</v>
      </c>
      <c r="J1" s="24" t="str">
        <f>Máscara!G15</f>
        <v>TELEFONE DO CLIENTE</v>
      </c>
      <c r="K1" s="24" t="str">
        <f>Máscara!E20</f>
        <v>CLASSIFICAÇÃO DO VEÍCULO</v>
      </c>
      <c r="L1" s="24" t="str">
        <f>Máscara!I12</f>
        <v>MODELO DO VEÍCULO</v>
      </c>
      <c r="M1" s="24" t="str">
        <f>Máscara!C23</f>
        <v>PACOTE CONTRATADO (ANOS)</v>
      </c>
      <c r="N1" s="24" t="str">
        <f>Máscara!E23</f>
        <v>PACOTE CONTRATADO (KM)</v>
      </c>
      <c r="O1" s="24" t="str">
        <f>Máscara!G23</f>
        <v>TIPO DE PACOTE</v>
      </c>
      <c r="P1" s="24" t="str">
        <f>Máscara!M15</f>
        <v>DATA DE VALIDADE DO PACOTE</v>
      </c>
      <c r="Q1" s="24" t="str">
        <f>Máscara!M18</f>
        <v>VALIDADE DO PACOTE EM KM</v>
      </c>
      <c r="R1" s="24" t="str">
        <f>Máscara!M12</f>
        <v>NOME DO CONCESSIONÁRIO</v>
      </c>
      <c r="S1" s="24" t="str">
        <f>Máscara!O7</f>
        <v>CNPJ DO CONCESSIONÁRIO</v>
      </c>
      <c r="T1" s="24" t="str">
        <f>Máscara!M21</f>
        <v>CÓDIGO DO PACOTE</v>
      </c>
      <c r="U1" s="24" t="str">
        <f>Valor_a_pagar[[#Headers],[VALOR A PAGAR]]</f>
        <v>VALOR A PAGAR</v>
      </c>
      <c r="V1" s="24" t="s">
        <v>15</v>
      </c>
      <c r="W1" s="24" t="str">
        <f>Máscara!I29</f>
        <v>PACOTE FINANCIADO PELO SF BMW?</v>
      </c>
      <c r="X1" s="24" t="str">
        <f>Máscara!C29</f>
        <v>ATIVAÇÃO URGENTE?</v>
      </c>
      <c r="Y1" s="24" t="s">
        <v>491</v>
      </c>
      <c r="Z1" s="24" t="s">
        <v>492</v>
      </c>
      <c r="AA1" s="24" t="s">
        <v>493</v>
      </c>
    </row>
    <row r="2" spans="1:27">
      <c r="A2" s="26">
        <f>Máscara!C21</f>
        <v>44838</v>
      </c>
      <c r="B2" s="25" t="str">
        <f>Máscara!E8</f>
        <v>MARCIO FILHO</v>
      </c>
      <c r="C2" s="25" t="str">
        <f>Máscara!G8</f>
        <v>VENDAS</v>
      </c>
      <c r="D2" s="25">
        <f>Máscara!M8</f>
        <v>32008</v>
      </c>
      <c r="E2" s="25" t="str">
        <f>Máscara!C13</f>
        <v>9IJHFT6RES4A98765</v>
      </c>
      <c r="F2" s="27">
        <f>Máscara!E13</f>
        <v>15000</v>
      </c>
      <c r="G2" s="26">
        <f>Máscara!I21</f>
        <v>44258</v>
      </c>
      <c r="H2" s="25" t="str">
        <f>Máscara!C16</f>
        <v>ELAINE SILVA</v>
      </c>
      <c r="I2" s="25" t="str">
        <f>Máscara!I16</f>
        <v>ELAINE@BMW.COM.BR</v>
      </c>
      <c r="J2" s="28">
        <f>Máscara!G16</f>
        <v>11999997777</v>
      </c>
      <c r="K2" s="25" t="str">
        <f>Máscara!E21</f>
        <v>NOVO</v>
      </c>
      <c r="L2" s="25" t="str">
        <f>Máscara!I13</f>
        <v>SÉRIE 3</v>
      </c>
      <c r="M2" s="29">
        <f>Máscara!C24</f>
        <v>5</v>
      </c>
      <c r="N2" s="27">
        <f>Máscara!E24</f>
        <v>80000</v>
      </c>
      <c r="O2" s="25" t="str">
        <f>Máscara!G24</f>
        <v>STANDARD</v>
      </c>
      <c r="P2" s="26">
        <f>Máscara!M16</f>
        <v>46083</v>
      </c>
      <c r="Q2" s="27">
        <f>Máscara!M19</f>
        <v>80000</v>
      </c>
      <c r="R2" s="25" t="str">
        <f>Máscara!M13</f>
        <v>Euro Import - Londrina</v>
      </c>
      <c r="S2" s="25" t="str">
        <f>Máscara!O8</f>
        <v>08.964.646/0001-09</v>
      </c>
      <c r="T2" s="27" t="str">
        <f>Máscara!M22</f>
        <v>07N7</v>
      </c>
      <c r="U2" s="27" cm="1">
        <f t="array" ref="U2">Valor_a_pagar[VALOR A PAGAR]</f>
        <v>11321.234528644141</v>
      </c>
      <c r="V2" s="25" t="str">
        <f>IF(Máscara!I24="Não","VENDA","EXT/UPGRADE")</f>
        <v>VENDA</v>
      </c>
      <c r="W2" s="25" t="str">
        <f>Máscara!I30</f>
        <v>Sim</v>
      </c>
      <c r="X2" s="25" t="str">
        <f>Máscara!C30</f>
        <v>Não</v>
      </c>
      <c r="Y2" s="25" t="s">
        <v>9</v>
      </c>
      <c r="Z2" s="25" t="s">
        <v>9</v>
      </c>
      <c r="AA2" s="25" t="s">
        <v>9</v>
      </c>
    </row>
  </sheetData>
  <sheetProtection sheet="1" objects="1" scenarios="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84A0C-7466-498A-82F6-ECA19317F38E}">
  <sheetPr codeName="Planilha7"/>
  <dimension ref="A1:B21"/>
  <sheetViews>
    <sheetView topLeftCell="A6" workbookViewId="0">
      <selection activeCell="B18" sqref="B18"/>
    </sheetView>
  </sheetViews>
  <sheetFormatPr defaultRowHeight="15"/>
  <cols>
    <col min="2" max="2" width="75.7109375" style="20" bestFit="1" customWidth="1"/>
  </cols>
  <sheetData>
    <row r="1" spans="1:2">
      <c r="A1" t="s">
        <v>308</v>
      </c>
      <c r="B1" s="20" t="s">
        <v>309</v>
      </c>
    </row>
    <row r="2" spans="1:2">
      <c r="A2">
        <v>1</v>
      </c>
      <c r="B2" s="21" t="s">
        <v>306</v>
      </c>
    </row>
    <row r="3" spans="1:2">
      <c r="A3">
        <v>2</v>
      </c>
      <c r="B3" s="22" t="s">
        <v>307</v>
      </c>
    </row>
    <row r="4" spans="1:2">
      <c r="A4">
        <v>3</v>
      </c>
      <c r="B4" s="22" t="s">
        <v>310</v>
      </c>
    </row>
    <row r="5" spans="1:2">
      <c r="A5">
        <v>4</v>
      </c>
      <c r="B5" s="22" t="s">
        <v>311</v>
      </c>
    </row>
    <row r="6" spans="1:2">
      <c r="A6">
        <v>5</v>
      </c>
      <c r="B6" s="22" t="s">
        <v>312</v>
      </c>
    </row>
    <row r="7" spans="1:2">
      <c r="A7">
        <v>6</v>
      </c>
      <c r="B7" s="22" t="s">
        <v>322</v>
      </c>
    </row>
    <row r="8" spans="1:2" ht="30">
      <c r="A8">
        <v>7</v>
      </c>
      <c r="B8" s="53" t="s">
        <v>321</v>
      </c>
    </row>
    <row r="9" spans="1:2">
      <c r="A9">
        <v>8</v>
      </c>
      <c r="B9" s="22" t="s">
        <v>313</v>
      </c>
    </row>
    <row r="10" spans="1:2" ht="90">
      <c r="A10">
        <v>9</v>
      </c>
      <c r="B10" s="53" t="s">
        <v>314</v>
      </c>
    </row>
    <row r="11" spans="1:2">
      <c r="A11">
        <v>10</v>
      </c>
      <c r="B11" s="22" t="s">
        <v>315</v>
      </c>
    </row>
    <row r="12" spans="1:2">
      <c r="A12">
        <v>11</v>
      </c>
      <c r="B12" s="22" t="s">
        <v>316</v>
      </c>
    </row>
    <row r="13" spans="1:2">
      <c r="A13">
        <v>12</v>
      </c>
      <c r="B13" s="20" t="s">
        <v>317</v>
      </c>
    </row>
    <row r="14" spans="1:2">
      <c r="A14">
        <v>13</v>
      </c>
      <c r="B14" s="22" t="s">
        <v>318</v>
      </c>
    </row>
    <row r="15" spans="1:2">
      <c r="A15">
        <v>14</v>
      </c>
      <c r="B15" s="22" t="s">
        <v>323</v>
      </c>
    </row>
    <row r="16" spans="1:2">
      <c r="A16">
        <v>15</v>
      </c>
      <c r="B16" s="22" t="s">
        <v>325</v>
      </c>
    </row>
    <row r="17" spans="1:2">
      <c r="A17">
        <v>16</v>
      </c>
      <c r="B17" s="22" t="s">
        <v>397</v>
      </c>
    </row>
    <row r="18" spans="1:2">
      <c r="A18">
        <v>17</v>
      </c>
      <c r="B18" s="22" t="s">
        <v>490</v>
      </c>
    </row>
    <row r="19" spans="1:2">
      <c r="A19">
        <v>18</v>
      </c>
      <c r="B19" s="22" t="s">
        <v>487</v>
      </c>
    </row>
    <row r="20" spans="1:2">
      <c r="A20">
        <v>19</v>
      </c>
      <c r="B20" s="22" t="s">
        <v>488</v>
      </c>
    </row>
    <row r="21" spans="1:2">
      <c r="A21">
        <v>20</v>
      </c>
      <c r="B21" s="20" t="s">
        <v>489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D1B04-A935-4C83-B759-7E7E32273D24}">
  <sheetPr codeName="Planilha8"/>
  <dimension ref="A1:B29"/>
  <sheetViews>
    <sheetView topLeftCell="A6" zoomScale="90" zoomScaleNormal="90" workbookViewId="0">
      <selection activeCell="E21" sqref="E21"/>
    </sheetView>
  </sheetViews>
  <sheetFormatPr defaultRowHeight="15"/>
  <cols>
    <col min="1" max="1" width="45.28515625" bestFit="1" customWidth="1"/>
    <col min="2" max="2" width="32.85546875" customWidth="1"/>
  </cols>
  <sheetData>
    <row r="1" spans="1:2" s="9" customFormat="1">
      <c r="A1" s="24" t="s">
        <v>319</v>
      </c>
      <c r="B1" s="24" t="s">
        <v>320</v>
      </c>
    </row>
    <row r="2" spans="1:2" s="9" customFormat="1">
      <c r="A2" s="25" t="str">
        <f>Máscara!C20</f>
        <v>DATA DA VENDA DO PACOTE</v>
      </c>
      <c r="B2" s="26">
        <f>Máscara!C21</f>
        <v>44838</v>
      </c>
    </row>
    <row r="3" spans="1:2" s="9" customFormat="1">
      <c r="A3" s="25" t="str">
        <f>Máscara!E7</f>
        <v>NOME DO VENDEDOR / CONSULTOR</v>
      </c>
      <c r="B3" s="25" t="str">
        <f>Máscara!E8</f>
        <v>MARCIO FILHO</v>
      </c>
    </row>
    <row r="4" spans="1:2" s="9" customFormat="1">
      <c r="A4" s="25" t="str">
        <f>Máscara!G7</f>
        <v>DEPARTAMENTO</v>
      </c>
      <c r="B4" s="25" t="str">
        <f>Máscara!G8</f>
        <v>VENDAS</v>
      </c>
    </row>
    <row r="5" spans="1:2" s="9" customFormat="1">
      <c r="A5" s="25" t="str">
        <f>Máscara!M7</f>
        <v>CÓDIGO DO CONCESSIONÁRIO</v>
      </c>
      <c r="B5" s="25">
        <f>Máscara!M8</f>
        <v>32008</v>
      </c>
    </row>
    <row r="6" spans="1:2" s="9" customFormat="1">
      <c r="A6" s="25" t="str">
        <f>Máscara!C12</f>
        <v>CHASSI</v>
      </c>
      <c r="B6" s="25" t="str">
        <f>Máscara!C13</f>
        <v>9IJHFT6RES4A98765</v>
      </c>
    </row>
    <row r="7" spans="1:2" s="9" customFormat="1">
      <c r="A7" s="25" t="str">
        <f>Máscara!E12</f>
        <v>KM ATUAL</v>
      </c>
      <c r="B7" s="27">
        <f>Máscara!E13</f>
        <v>15000</v>
      </c>
    </row>
    <row r="8" spans="1:2" s="9" customFormat="1">
      <c r="A8" s="25" t="str">
        <f>Máscara!I20</f>
        <v>DATA DE INÍCIO DA GARANTIA</v>
      </c>
      <c r="B8" s="26">
        <f>Máscara!I21</f>
        <v>44258</v>
      </c>
    </row>
    <row r="9" spans="1:2" s="9" customFormat="1">
      <c r="A9" s="25" t="str">
        <f>Máscara!C15</f>
        <v>NOME COMPLETO  OU RAZÃO SOCIAL DO CLIENTE</v>
      </c>
      <c r="B9" s="25" t="str">
        <f>Máscara!C16</f>
        <v>ELAINE SILVA</v>
      </c>
    </row>
    <row r="10" spans="1:2" s="9" customFormat="1">
      <c r="A10" s="25" t="str">
        <f>Máscara!I15</f>
        <v>E-MAIL DO CLIENTE</v>
      </c>
      <c r="B10" s="25" t="str">
        <f>Máscara!I16</f>
        <v>ELAINE@BMW.COM.BR</v>
      </c>
    </row>
    <row r="11" spans="1:2" s="9" customFormat="1">
      <c r="A11" s="25" t="str">
        <f>Máscara!G15</f>
        <v>TELEFONE DO CLIENTE</v>
      </c>
      <c r="B11" s="28">
        <f>Máscara!G16</f>
        <v>11999997777</v>
      </c>
    </row>
    <row r="12" spans="1:2" s="9" customFormat="1">
      <c r="A12" s="25" t="str">
        <f>Máscara!E20</f>
        <v>CLASSIFICAÇÃO DO VEÍCULO</v>
      </c>
      <c r="B12" s="25" t="str">
        <f>Máscara!E21</f>
        <v>NOVO</v>
      </c>
    </row>
    <row r="13" spans="1:2" s="9" customFormat="1">
      <c r="A13" s="25" t="str">
        <f>Máscara!I12</f>
        <v>MODELO DO VEÍCULO</v>
      </c>
      <c r="B13" s="25" t="str">
        <f>Máscara!I13</f>
        <v>SÉRIE 3</v>
      </c>
    </row>
    <row r="14" spans="1:2" s="9" customFormat="1">
      <c r="A14" s="25" t="str">
        <f>Máscara!C23</f>
        <v>PACOTE CONTRATADO (ANOS)</v>
      </c>
      <c r="B14" s="29">
        <f>Máscara!C24</f>
        <v>5</v>
      </c>
    </row>
    <row r="15" spans="1:2" s="9" customFormat="1">
      <c r="A15" s="25" t="str">
        <f>Máscara!E23</f>
        <v>PACOTE CONTRATADO (KM)</v>
      </c>
      <c r="B15" s="27">
        <f>Máscara!E24</f>
        <v>80000</v>
      </c>
    </row>
    <row r="16" spans="1:2">
      <c r="A16" s="25" t="str">
        <f>Máscara!G23</f>
        <v>TIPO DE PACOTE</v>
      </c>
      <c r="B16" s="25" t="str">
        <f>Máscara!G24</f>
        <v>STANDARD</v>
      </c>
    </row>
    <row r="17" spans="1:2">
      <c r="A17" s="25" t="str">
        <f>Máscara!M15</f>
        <v>DATA DE VALIDADE DO PACOTE</v>
      </c>
      <c r="B17" s="26">
        <f>Máscara!M16</f>
        <v>46083</v>
      </c>
    </row>
    <row r="18" spans="1:2">
      <c r="A18" s="25" t="str">
        <f>Máscara!M18</f>
        <v>VALIDADE DO PACOTE EM KM</v>
      </c>
      <c r="B18" s="27">
        <f>Máscara!M19</f>
        <v>80000</v>
      </c>
    </row>
    <row r="19" spans="1:2">
      <c r="A19" s="25" t="str">
        <f>Máscara!M12</f>
        <v>NOME DO CONCESSIONÁRIO</v>
      </c>
      <c r="B19" s="25" t="str">
        <f>Máscara!M13</f>
        <v>Euro Import - Londrina</v>
      </c>
    </row>
    <row r="20" spans="1:2">
      <c r="A20" s="25" t="str">
        <f>Máscara!O7</f>
        <v>CNPJ DO CONCESSIONÁRIO</v>
      </c>
      <c r="B20" s="25" t="str">
        <f>Máscara!O8</f>
        <v>08.964.646/0001-09</v>
      </c>
    </row>
    <row r="21" spans="1:2">
      <c r="A21" s="25" t="str">
        <f>Máscara!M21</f>
        <v>CÓDIGO DO PACOTE</v>
      </c>
      <c r="B21" s="27" t="str">
        <f>Máscara!M22</f>
        <v>07N7</v>
      </c>
    </row>
    <row r="22" spans="1:2">
      <c r="A22" s="25" t="str">
        <f>Valor_a_pagar[[#Headers],[VALOR A PAGAR]]</f>
        <v>VALOR A PAGAR</v>
      </c>
      <c r="B22" s="27" cm="1">
        <f t="array" ref="B22">Valor_a_pagar[VALOR A PAGAR]</f>
        <v>11321.234528644141</v>
      </c>
    </row>
    <row r="23" spans="1:2">
      <c r="A23" s="25" t="s">
        <v>15</v>
      </c>
      <c r="B23" s="25" t="str">
        <f>IF(Máscara!I24="Não","VENDA","EXT/UPGRADE")</f>
        <v>VENDA</v>
      </c>
    </row>
    <row r="24" spans="1:2">
      <c r="A24" s="25" t="str">
        <f>Máscara!I29</f>
        <v>PACOTE FINANCIADO PELO SF BMW?</v>
      </c>
      <c r="B24" s="25" t="str">
        <f>Máscara!I30</f>
        <v>Sim</v>
      </c>
    </row>
    <row r="25" spans="1:2">
      <c r="A25" s="24" t="str">
        <f>Máscara!C29</f>
        <v>ATIVAÇÃO URGENTE?</v>
      </c>
      <c r="B25" s="25" t="str">
        <f>Máscara!C30</f>
        <v>Não</v>
      </c>
    </row>
    <row r="26" spans="1:2">
      <c r="A26" s="24" t="s">
        <v>491</v>
      </c>
      <c r="B26" s="25" t="s">
        <v>9</v>
      </c>
    </row>
    <row r="27" spans="1:2">
      <c r="A27" s="24" t="s">
        <v>492</v>
      </c>
      <c r="B27" s="25" t="s">
        <v>9</v>
      </c>
    </row>
    <row r="28" spans="1:2">
      <c r="A28" s="24" t="s">
        <v>493</v>
      </c>
      <c r="B28" s="25" t="s">
        <v>9</v>
      </c>
    </row>
    <row r="29" spans="1:2">
      <c r="B29" s="23"/>
    </row>
  </sheetData>
  <sheetProtection sheet="1" objects="1" scenarios="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F1091-8F19-4B62-995D-F5B4E3316FAF}">
  <sheetPr codeName="Planilha10">
    <pageSetUpPr fitToPage="1"/>
  </sheetPr>
  <dimension ref="A1:V49"/>
  <sheetViews>
    <sheetView showGridLines="0" topLeftCell="A17" zoomScaleNormal="100" workbookViewId="0">
      <selection activeCell="M38" sqref="M38:U38"/>
    </sheetView>
  </sheetViews>
  <sheetFormatPr defaultRowHeight="15"/>
  <cols>
    <col min="1" max="1" width="3.7109375" style="71" customWidth="1"/>
    <col min="2" max="2" width="8.140625" style="71" customWidth="1"/>
    <col min="3" max="3" width="6" style="71" customWidth="1"/>
    <col min="4" max="4" width="12.7109375" style="71" customWidth="1"/>
    <col min="5" max="5" width="6.7109375" style="71" customWidth="1"/>
    <col min="6" max="6" width="5.85546875" style="71" customWidth="1"/>
    <col min="7" max="7" width="7.28515625" style="71" customWidth="1"/>
    <col min="8" max="10" width="9.140625" style="71"/>
    <col min="11" max="11" width="13.85546875" style="71" customWidth="1"/>
    <col min="12" max="12" width="9.7109375" style="71" customWidth="1"/>
    <col min="13" max="20" width="9.140625" style="71"/>
    <col min="21" max="21" width="10" style="71" customWidth="1"/>
    <col min="22" max="22" width="3.7109375" style="71" customWidth="1"/>
    <col min="23" max="16384" width="9.140625" style="71"/>
  </cols>
  <sheetData>
    <row r="1" spans="1:22">
      <c r="A1" s="68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70"/>
    </row>
    <row r="2" spans="1:22" ht="27">
      <c r="A2" s="72"/>
      <c r="B2" s="73" t="s">
        <v>330</v>
      </c>
      <c r="M2" s="73" t="s">
        <v>358</v>
      </c>
      <c r="V2" s="74"/>
    </row>
    <row r="3" spans="1:22" ht="27">
      <c r="A3" s="72"/>
      <c r="B3" s="73" t="s">
        <v>331</v>
      </c>
      <c r="V3" s="74"/>
    </row>
    <row r="4" spans="1:22">
      <c r="A4" s="72"/>
      <c r="M4" s="71" t="s">
        <v>417</v>
      </c>
      <c r="V4" s="74"/>
    </row>
    <row r="5" spans="1:22" ht="15" customHeight="1">
      <c r="A5" s="72"/>
      <c r="B5" s="144" t="s">
        <v>498</v>
      </c>
      <c r="C5" s="144"/>
      <c r="D5" s="144"/>
      <c r="E5" s="144"/>
      <c r="F5" s="144"/>
      <c r="G5" s="144"/>
      <c r="H5" s="144"/>
      <c r="I5" s="144"/>
      <c r="J5" s="144"/>
      <c r="K5" s="144"/>
      <c r="V5" s="74"/>
    </row>
    <row r="6" spans="1:22" ht="15" customHeight="1">
      <c r="A6" s="72"/>
      <c r="B6" s="144" t="s">
        <v>535</v>
      </c>
      <c r="C6" s="144"/>
      <c r="D6" s="144"/>
      <c r="E6" s="144"/>
      <c r="F6" s="144"/>
      <c r="G6" s="144"/>
      <c r="H6" s="144"/>
      <c r="I6" s="144"/>
      <c r="J6" s="144"/>
      <c r="K6" s="144"/>
      <c r="M6" s="144" t="s">
        <v>515</v>
      </c>
      <c r="N6" s="144"/>
      <c r="O6" s="144"/>
      <c r="P6" s="144"/>
      <c r="Q6" s="144"/>
      <c r="R6" s="144"/>
      <c r="S6" s="144"/>
      <c r="T6" s="144"/>
      <c r="U6" s="144"/>
      <c r="V6" s="74"/>
    </row>
    <row r="7" spans="1:22">
      <c r="A7" s="72"/>
      <c r="B7" s="71" t="s">
        <v>499</v>
      </c>
      <c r="M7" s="71" t="s">
        <v>545</v>
      </c>
      <c r="V7" s="74"/>
    </row>
    <row r="8" spans="1:22">
      <c r="A8" s="72"/>
      <c r="V8" s="74"/>
    </row>
    <row r="9" spans="1:22" ht="15" customHeight="1">
      <c r="A9" s="72"/>
      <c r="B9" s="144" t="s">
        <v>334</v>
      </c>
      <c r="C9" s="144"/>
      <c r="D9" s="144"/>
      <c r="E9" s="144"/>
      <c r="F9" s="144"/>
      <c r="G9" s="144"/>
      <c r="H9" s="144"/>
      <c r="I9" s="144"/>
      <c r="J9" s="144"/>
      <c r="K9" s="144"/>
      <c r="M9" s="71" t="s">
        <v>361</v>
      </c>
      <c r="V9" s="74"/>
    </row>
    <row r="10" spans="1:22">
      <c r="A10" s="72"/>
      <c r="B10" s="71" t="s">
        <v>335</v>
      </c>
      <c r="M10" s="71" t="s">
        <v>362</v>
      </c>
      <c r="V10" s="74"/>
    </row>
    <row r="11" spans="1:22">
      <c r="A11" s="72"/>
      <c r="B11" s="71" t="s">
        <v>332</v>
      </c>
      <c r="E11" s="75" t="str">
        <f>Máscara!M13</f>
        <v>Euro Import - Londrina</v>
      </c>
      <c r="F11" s="75"/>
      <c r="G11" s="75"/>
      <c r="H11" s="75"/>
      <c r="I11" s="75"/>
      <c r="J11" s="75"/>
      <c r="K11" s="75"/>
      <c r="M11" s="71" t="s">
        <v>363</v>
      </c>
      <c r="V11" s="74"/>
    </row>
    <row r="12" spans="1:22" ht="15" customHeight="1">
      <c r="A12" s="72"/>
      <c r="B12" s="71" t="s">
        <v>333</v>
      </c>
      <c r="D12" s="75" t="str">
        <f>Máscara!O8</f>
        <v>08.964.646/0001-09</v>
      </c>
      <c r="E12" s="75"/>
      <c r="F12" s="75"/>
      <c r="G12" s="75"/>
      <c r="H12" s="75"/>
      <c r="I12" s="75"/>
      <c r="J12" s="75"/>
      <c r="K12" s="75"/>
      <c r="M12" s="80" t="s">
        <v>516</v>
      </c>
      <c r="N12" s="80"/>
      <c r="O12" s="80"/>
      <c r="P12" s="80"/>
      <c r="Q12" s="80"/>
      <c r="R12" s="80"/>
      <c r="S12" s="80"/>
      <c r="T12" s="80"/>
      <c r="U12" s="80"/>
      <c r="V12" s="74"/>
    </row>
    <row r="13" spans="1:22">
      <c r="A13" s="72"/>
      <c r="B13" s="71" t="s">
        <v>336</v>
      </c>
      <c r="M13" s="71" t="s">
        <v>517</v>
      </c>
      <c r="V13" s="74"/>
    </row>
    <row r="14" spans="1:22">
      <c r="A14" s="72"/>
      <c r="B14" s="71" t="s">
        <v>337</v>
      </c>
      <c r="V14" s="74"/>
    </row>
    <row r="15" spans="1:22">
      <c r="A15" s="72"/>
      <c r="B15" s="76" t="s">
        <v>332</v>
      </c>
      <c r="E15" s="75" t="str">
        <f>Máscara!C16</f>
        <v>ELAINE SILVA</v>
      </c>
      <c r="F15" s="75"/>
      <c r="G15" s="75"/>
      <c r="H15" s="75"/>
      <c r="I15" s="75"/>
      <c r="J15" s="75"/>
      <c r="K15" s="75"/>
      <c r="M15" s="71" t="s">
        <v>366</v>
      </c>
      <c r="V15" s="74"/>
    </row>
    <row r="16" spans="1:22">
      <c r="A16" s="72"/>
      <c r="B16" s="71" t="s">
        <v>338</v>
      </c>
      <c r="E16" s="77" t="str">
        <f>Máscara!E16</f>
        <v>123.456.789-00</v>
      </c>
      <c r="F16" s="77"/>
      <c r="G16" s="77"/>
      <c r="H16" s="77"/>
      <c r="I16" s="77"/>
      <c r="J16" s="77"/>
      <c r="K16" s="77"/>
      <c r="V16" s="74"/>
    </row>
    <row r="17" spans="1:22">
      <c r="A17" s="72"/>
      <c r="M17" s="71" t="s">
        <v>367</v>
      </c>
      <c r="V17" s="74"/>
    </row>
    <row r="18" spans="1:22" ht="15" customHeight="1">
      <c r="A18" s="72"/>
      <c r="B18" s="144" t="s">
        <v>500</v>
      </c>
      <c r="C18" s="144"/>
      <c r="D18" s="144"/>
      <c r="E18" s="144"/>
      <c r="F18" s="144"/>
      <c r="G18" s="144"/>
      <c r="H18" s="144"/>
      <c r="I18" s="144"/>
      <c r="J18" s="144"/>
      <c r="K18" s="144"/>
      <c r="V18" s="74"/>
    </row>
    <row r="19" spans="1:22" ht="15" customHeight="1">
      <c r="A19" s="72"/>
      <c r="B19" s="144" t="s">
        <v>501</v>
      </c>
      <c r="C19" s="144"/>
      <c r="D19" s="144"/>
      <c r="E19" s="144"/>
      <c r="F19" s="144"/>
      <c r="G19" s="147" cm="1">
        <f t="array" ref="G19">Valor_a_pagar[VALOR A PAGAR]</f>
        <v>11321.234528644141</v>
      </c>
      <c r="H19" s="147"/>
      <c r="I19" s="144" t="s">
        <v>556</v>
      </c>
      <c r="J19" s="144"/>
      <c r="K19" s="144"/>
      <c r="M19" s="144" t="s">
        <v>518</v>
      </c>
      <c r="N19" s="144"/>
      <c r="O19" s="144"/>
      <c r="P19" s="144"/>
      <c r="Q19" s="144"/>
      <c r="R19" s="144"/>
      <c r="S19" s="144"/>
      <c r="T19" s="144"/>
      <c r="U19" s="144"/>
      <c r="V19" s="74"/>
    </row>
    <row r="20" spans="1:22" ht="15" customHeight="1">
      <c r="A20" s="72"/>
      <c r="B20" s="71" t="s">
        <v>540</v>
      </c>
      <c r="M20" s="144" t="s">
        <v>519</v>
      </c>
      <c r="N20" s="144"/>
      <c r="O20" s="144"/>
      <c r="P20" s="144"/>
      <c r="Q20" s="144"/>
      <c r="R20" s="144"/>
      <c r="S20" s="144"/>
      <c r="T20" s="144"/>
      <c r="U20" s="144"/>
      <c r="V20" s="74"/>
    </row>
    <row r="21" spans="1:22" ht="15" customHeight="1">
      <c r="A21" s="72"/>
      <c r="M21" s="71" t="s">
        <v>520</v>
      </c>
      <c r="N21" s="80"/>
      <c r="O21" s="80"/>
      <c r="P21" s="80"/>
      <c r="Q21" s="80"/>
      <c r="R21" s="80"/>
      <c r="S21" s="80"/>
      <c r="T21" s="80"/>
      <c r="U21" s="80"/>
      <c r="V21" s="74"/>
    </row>
    <row r="22" spans="1:22">
      <c r="A22" s="72"/>
      <c r="B22" s="71" t="s">
        <v>340</v>
      </c>
      <c r="D22" s="75" t="str">
        <f>Máscara!I13</f>
        <v>SÉRIE 3</v>
      </c>
      <c r="E22" s="75"/>
      <c r="F22" s="75"/>
      <c r="G22" s="75"/>
      <c r="H22" s="75"/>
      <c r="I22" s="75"/>
      <c r="J22" s="75"/>
      <c r="K22" s="75"/>
      <c r="V22" s="74"/>
    </row>
    <row r="23" spans="1:22">
      <c r="A23" s="72"/>
      <c r="B23" s="71" t="s">
        <v>341</v>
      </c>
      <c r="D23" s="77" t="str">
        <f>Máscara!G13</f>
        <v>2021/2022</v>
      </c>
      <c r="E23" s="77"/>
      <c r="F23" s="77"/>
      <c r="G23" s="77"/>
      <c r="H23" s="77"/>
      <c r="I23" s="77"/>
      <c r="J23" s="77"/>
      <c r="K23" s="77"/>
      <c r="M23" s="144" t="s">
        <v>533</v>
      </c>
      <c r="N23" s="144"/>
      <c r="O23" s="144"/>
      <c r="P23" s="144"/>
      <c r="Q23" s="144"/>
      <c r="R23" s="144"/>
      <c r="S23" s="144"/>
      <c r="T23" s="144"/>
      <c r="U23" s="144"/>
      <c r="V23" s="74"/>
    </row>
    <row r="24" spans="1:22" ht="15" customHeight="1">
      <c r="A24" s="72"/>
      <c r="B24" s="71" t="s">
        <v>342</v>
      </c>
      <c r="C24" s="75" t="str">
        <f>Máscara!C13</f>
        <v>9IJHFT6RES4A98765</v>
      </c>
      <c r="D24" s="75"/>
      <c r="E24" s="75"/>
      <c r="F24" s="75"/>
      <c r="G24" s="75"/>
      <c r="H24" s="75"/>
      <c r="I24" s="75"/>
      <c r="J24" s="75"/>
      <c r="K24" s="75"/>
      <c r="M24" s="144" t="s">
        <v>534</v>
      </c>
      <c r="N24" s="144"/>
      <c r="O24" s="144"/>
      <c r="P24" s="144"/>
      <c r="Q24" s="144"/>
      <c r="R24" s="144"/>
      <c r="S24" s="144"/>
      <c r="T24" s="144"/>
      <c r="U24" s="144"/>
      <c r="V24" s="74"/>
    </row>
    <row r="25" spans="1:22" ht="15" customHeight="1">
      <c r="A25" s="72"/>
      <c r="M25" s="144" t="s">
        <v>521</v>
      </c>
      <c r="N25" s="145"/>
      <c r="O25" s="145"/>
      <c r="P25" s="145"/>
      <c r="Q25" s="145"/>
      <c r="R25" s="145"/>
      <c r="S25" s="145"/>
      <c r="T25" s="145"/>
      <c r="U25" s="145"/>
      <c r="V25" s="74"/>
    </row>
    <row r="26" spans="1:22" ht="15" customHeight="1">
      <c r="A26" s="72"/>
      <c r="B26" s="144" t="s">
        <v>502</v>
      </c>
      <c r="C26" s="144"/>
      <c r="D26" s="144"/>
      <c r="E26" s="144"/>
      <c r="F26" s="144"/>
      <c r="G26" s="144"/>
      <c r="H26" s="144"/>
      <c r="I26" s="144"/>
      <c r="J26" s="144"/>
      <c r="K26" s="144"/>
      <c r="M26" s="71" t="s">
        <v>522</v>
      </c>
      <c r="V26" s="74"/>
    </row>
    <row r="27" spans="1:22" ht="15" customHeight="1">
      <c r="A27" s="72"/>
      <c r="B27" s="144" t="s">
        <v>503</v>
      </c>
      <c r="C27" s="144"/>
      <c r="D27" s="144"/>
      <c r="E27" s="144"/>
      <c r="F27" s="144"/>
      <c r="G27" s="144"/>
      <c r="H27" s="144"/>
      <c r="I27" s="144"/>
      <c r="J27" s="144"/>
      <c r="K27" s="144"/>
      <c r="V27" s="74"/>
    </row>
    <row r="28" spans="1:22" ht="15.75">
      <c r="A28" s="72"/>
      <c r="B28" s="144" t="s">
        <v>504</v>
      </c>
      <c r="C28" s="145"/>
      <c r="D28" s="145"/>
      <c r="E28" s="145"/>
      <c r="F28" s="145"/>
      <c r="G28" s="145"/>
      <c r="H28" s="145"/>
      <c r="I28" s="145"/>
      <c r="J28" s="145"/>
      <c r="K28" s="145"/>
      <c r="M28" s="71" t="s">
        <v>374</v>
      </c>
      <c r="V28" s="74"/>
    </row>
    <row r="29" spans="1:22" ht="15.75">
      <c r="A29" s="72"/>
      <c r="B29" s="144" t="s">
        <v>505</v>
      </c>
      <c r="C29" s="145"/>
      <c r="D29" s="145"/>
      <c r="E29" s="145"/>
      <c r="F29" s="145"/>
      <c r="G29" s="145"/>
      <c r="H29" s="145"/>
      <c r="I29" s="145"/>
      <c r="J29" s="145"/>
      <c r="K29" s="145"/>
      <c r="V29" s="74"/>
    </row>
    <row r="30" spans="1:22" ht="15.75">
      <c r="A30" s="72"/>
      <c r="B30" s="71" t="s">
        <v>506</v>
      </c>
      <c r="M30" s="144" t="s">
        <v>523</v>
      </c>
      <c r="N30" s="145"/>
      <c r="O30" s="145"/>
      <c r="P30" s="145"/>
      <c r="Q30" s="145"/>
      <c r="R30" s="145"/>
      <c r="S30" s="145"/>
      <c r="T30" s="145"/>
      <c r="U30" s="145"/>
      <c r="V30" s="74"/>
    </row>
    <row r="31" spans="1:22" ht="15.75">
      <c r="A31" s="72"/>
      <c r="M31" s="144" t="s">
        <v>524</v>
      </c>
      <c r="N31" s="145"/>
      <c r="O31" s="145"/>
      <c r="P31" s="145"/>
      <c r="Q31" s="145"/>
      <c r="R31" s="145"/>
      <c r="S31" s="145"/>
      <c r="T31" s="145"/>
      <c r="U31" s="145"/>
      <c r="V31" s="74"/>
    </row>
    <row r="32" spans="1:22" ht="15" customHeight="1">
      <c r="A32" s="72"/>
      <c r="B32" s="144" t="s">
        <v>392</v>
      </c>
      <c r="C32" s="145"/>
      <c r="D32" s="145"/>
      <c r="E32" s="145"/>
      <c r="F32" s="145"/>
      <c r="G32" s="146">
        <f>Máscara!M16</f>
        <v>46083</v>
      </c>
      <c r="H32" s="146"/>
      <c r="I32" s="144" t="s">
        <v>507</v>
      </c>
      <c r="J32" s="144"/>
      <c r="K32" s="144"/>
      <c r="M32" s="144" t="s">
        <v>605</v>
      </c>
      <c r="N32" s="145"/>
      <c r="O32" s="145"/>
      <c r="P32" s="145"/>
      <c r="Q32" s="145"/>
      <c r="R32" s="145"/>
      <c r="S32" s="145"/>
      <c r="T32" s="145"/>
      <c r="U32" s="145"/>
      <c r="V32" s="74"/>
    </row>
    <row r="33" spans="1:22" ht="15" customHeight="1">
      <c r="A33" s="72"/>
      <c r="B33" s="144" t="s">
        <v>508</v>
      </c>
      <c r="C33" s="144"/>
      <c r="D33" s="144"/>
      <c r="E33" s="144"/>
      <c r="F33" s="150">
        <f>Máscara!M19</f>
        <v>80000</v>
      </c>
      <c r="G33" s="150"/>
      <c r="H33" s="71" t="s">
        <v>345</v>
      </c>
      <c r="M33" s="71" t="s">
        <v>567</v>
      </c>
      <c r="U33" s="80"/>
      <c r="V33" s="74"/>
    </row>
    <row r="34" spans="1:22">
      <c r="A34" s="72"/>
      <c r="V34" s="74"/>
    </row>
    <row r="35" spans="1:22" ht="15" customHeight="1">
      <c r="A35" s="72"/>
      <c r="B35" s="144" t="s">
        <v>509</v>
      </c>
      <c r="C35" s="144"/>
      <c r="D35" s="144"/>
      <c r="E35" s="144"/>
      <c r="F35" s="144"/>
      <c r="G35" s="144"/>
      <c r="H35" s="144"/>
      <c r="I35" s="144"/>
      <c r="J35" s="144"/>
      <c r="K35" s="144"/>
      <c r="M35" s="144" t="s">
        <v>525</v>
      </c>
      <c r="N35" s="145"/>
      <c r="O35" s="145"/>
      <c r="P35" s="145"/>
      <c r="Q35" s="145"/>
      <c r="R35" s="145"/>
      <c r="S35" s="145"/>
      <c r="T35" s="145"/>
      <c r="U35" s="145"/>
      <c r="V35" s="74"/>
    </row>
    <row r="36" spans="1:22" ht="15" customHeight="1">
      <c r="A36" s="72"/>
      <c r="B36" s="144" t="s">
        <v>510</v>
      </c>
      <c r="C36" s="144"/>
      <c r="D36" s="144"/>
      <c r="E36" s="144"/>
      <c r="F36" s="144"/>
      <c r="G36" s="144"/>
      <c r="H36" s="144"/>
      <c r="I36" s="144"/>
      <c r="J36" s="144"/>
      <c r="K36" s="144"/>
      <c r="M36" s="144" t="s">
        <v>526</v>
      </c>
      <c r="N36" s="145"/>
      <c r="O36" s="145"/>
      <c r="P36" s="145"/>
      <c r="Q36" s="145"/>
      <c r="R36" s="145"/>
      <c r="S36" s="145"/>
      <c r="T36" s="145"/>
      <c r="U36" s="145"/>
      <c r="V36" s="74"/>
    </row>
    <row r="37" spans="1:22" ht="15" customHeight="1">
      <c r="A37" s="72"/>
      <c r="B37" s="71" t="s">
        <v>511</v>
      </c>
      <c r="M37" s="144" t="s">
        <v>606</v>
      </c>
      <c r="N37" s="145"/>
      <c r="O37" s="145"/>
      <c r="P37" s="145"/>
      <c r="Q37" s="145"/>
      <c r="R37" s="145"/>
      <c r="S37" s="145"/>
      <c r="T37" s="145"/>
      <c r="U37" s="145"/>
      <c r="V37" s="74"/>
    </row>
    <row r="38" spans="1:22" ht="15" customHeight="1">
      <c r="A38" s="72"/>
      <c r="M38" s="144" t="s">
        <v>527</v>
      </c>
      <c r="N38" s="145"/>
      <c r="O38" s="145"/>
      <c r="P38" s="145"/>
      <c r="Q38" s="145"/>
      <c r="R38" s="145"/>
      <c r="S38" s="145"/>
      <c r="T38" s="145"/>
      <c r="U38" s="145"/>
      <c r="V38" s="74"/>
    </row>
    <row r="39" spans="1:22" ht="15" customHeight="1">
      <c r="A39" s="72"/>
      <c r="B39" s="144" t="s">
        <v>512</v>
      </c>
      <c r="C39" s="144"/>
      <c r="D39" s="144"/>
      <c r="E39" s="144"/>
      <c r="F39" s="144"/>
      <c r="G39" s="144"/>
      <c r="H39" s="144"/>
      <c r="I39" s="144"/>
      <c r="J39" s="144"/>
      <c r="K39" s="144"/>
      <c r="M39" s="144" t="s">
        <v>528</v>
      </c>
      <c r="N39" s="145"/>
      <c r="O39" s="145"/>
      <c r="P39" s="145"/>
      <c r="Q39" s="145"/>
      <c r="R39" s="145"/>
      <c r="S39" s="145"/>
      <c r="T39" s="145"/>
      <c r="U39" s="145"/>
      <c r="V39" s="74"/>
    </row>
    <row r="40" spans="1:22" ht="15" customHeight="1">
      <c r="A40" s="72"/>
      <c r="B40" s="144" t="s">
        <v>513</v>
      </c>
      <c r="C40" s="144"/>
      <c r="D40" s="144"/>
      <c r="E40" s="144"/>
      <c r="F40" s="144"/>
      <c r="G40" s="144"/>
      <c r="H40" s="144"/>
      <c r="I40" s="144"/>
      <c r="J40" s="144"/>
      <c r="K40" s="144"/>
      <c r="M40" s="71" t="s">
        <v>529</v>
      </c>
      <c r="V40" s="74"/>
    </row>
    <row r="41" spans="1:22">
      <c r="A41" s="72"/>
      <c r="B41" s="71" t="s">
        <v>514</v>
      </c>
      <c r="V41" s="74"/>
    </row>
    <row r="42" spans="1:22">
      <c r="A42" s="72"/>
      <c r="M42" s="71" t="s">
        <v>383</v>
      </c>
      <c r="V42" s="74"/>
    </row>
    <row r="43" spans="1:22">
      <c r="A43" s="72"/>
      <c r="B43" s="71" t="s">
        <v>350</v>
      </c>
      <c r="C43" s="146">
        <f>Máscara!C21</f>
        <v>44838</v>
      </c>
      <c r="D43" s="146"/>
      <c r="E43" s="146"/>
      <c r="V43" s="74"/>
    </row>
    <row r="44" spans="1:22" ht="15.75">
      <c r="A44" s="72"/>
      <c r="M44" s="144" t="s">
        <v>530</v>
      </c>
      <c r="N44" s="145"/>
      <c r="O44" s="145"/>
      <c r="P44" s="145"/>
      <c r="Q44" s="145"/>
      <c r="R44" s="145"/>
      <c r="S44" s="145"/>
      <c r="T44" s="145"/>
      <c r="U44" s="145"/>
      <c r="V44" s="74"/>
    </row>
    <row r="45" spans="1:22" ht="15" customHeight="1">
      <c r="A45" s="72"/>
      <c r="M45" s="144" t="s">
        <v>536</v>
      </c>
      <c r="N45" s="145"/>
      <c r="O45" s="145"/>
      <c r="P45" s="145"/>
      <c r="Q45" s="145"/>
      <c r="R45" s="145"/>
      <c r="S45" s="145"/>
      <c r="T45" s="145"/>
      <c r="U45" s="145"/>
      <c r="V45" s="74"/>
    </row>
    <row r="46" spans="1:22" ht="15" customHeight="1">
      <c r="A46" s="72"/>
      <c r="M46" s="144" t="s">
        <v>531</v>
      </c>
      <c r="N46" s="145"/>
      <c r="O46" s="145"/>
      <c r="P46" s="145"/>
      <c r="Q46" s="145"/>
      <c r="R46" s="145"/>
      <c r="S46" s="145"/>
      <c r="T46" s="145"/>
      <c r="U46" s="145"/>
      <c r="V46" s="74"/>
    </row>
    <row r="47" spans="1:22" ht="15" customHeight="1">
      <c r="A47" s="72"/>
      <c r="B47" s="148" t="s">
        <v>351</v>
      </c>
      <c r="C47" s="148"/>
      <c r="D47" s="148"/>
      <c r="E47" s="148"/>
      <c r="F47" s="148"/>
      <c r="H47" s="148" t="s">
        <v>352</v>
      </c>
      <c r="I47" s="148"/>
      <c r="J47" s="148"/>
      <c r="K47" s="148"/>
      <c r="M47" s="71" t="s">
        <v>532</v>
      </c>
      <c r="U47" s="80"/>
      <c r="V47" s="74"/>
    </row>
    <row r="48" spans="1:22">
      <c r="A48" s="72"/>
      <c r="H48" s="149" t="s">
        <v>353</v>
      </c>
      <c r="I48" s="149"/>
      <c r="J48" s="149"/>
      <c r="K48" s="149"/>
      <c r="V48" s="74"/>
    </row>
    <row r="49" spans="1:22">
      <c r="A49" s="78"/>
      <c r="B49" s="75"/>
      <c r="C49" s="75"/>
      <c r="D49" s="75"/>
      <c r="E49" s="75"/>
      <c r="F49" s="75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9"/>
    </row>
  </sheetData>
  <mergeCells count="41">
    <mergeCell ref="B47:F47"/>
    <mergeCell ref="H47:K47"/>
    <mergeCell ref="H48:K48"/>
    <mergeCell ref="M19:U19"/>
    <mergeCell ref="M23:U23"/>
    <mergeCell ref="M30:U30"/>
    <mergeCell ref="M39:U39"/>
    <mergeCell ref="B35:K35"/>
    <mergeCell ref="B39:K39"/>
    <mergeCell ref="F33:G33"/>
    <mergeCell ref="B33:E33"/>
    <mergeCell ref="B36:K36"/>
    <mergeCell ref="M44:U44"/>
    <mergeCell ref="M45:U45"/>
    <mergeCell ref="M46:U46"/>
    <mergeCell ref="C43:E43"/>
    <mergeCell ref="B5:K5"/>
    <mergeCell ref="B26:K26"/>
    <mergeCell ref="B27:K27"/>
    <mergeCell ref="B6:K6"/>
    <mergeCell ref="B9:K9"/>
    <mergeCell ref="B18:K18"/>
    <mergeCell ref="G19:H19"/>
    <mergeCell ref="I19:K19"/>
    <mergeCell ref="B19:F19"/>
    <mergeCell ref="M6:U6"/>
    <mergeCell ref="M20:U20"/>
    <mergeCell ref="M24:U24"/>
    <mergeCell ref="M25:U25"/>
    <mergeCell ref="G32:H32"/>
    <mergeCell ref="B28:K28"/>
    <mergeCell ref="B29:K29"/>
    <mergeCell ref="B32:F32"/>
    <mergeCell ref="I32:K32"/>
    <mergeCell ref="M31:U31"/>
    <mergeCell ref="M32:U32"/>
    <mergeCell ref="M35:U35"/>
    <mergeCell ref="M36:U36"/>
    <mergeCell ref="M37:U37"/>
    <mergeCell ref="M38:U38"/>
    <mergeCell ref="B40:K40"/>
  </mergeCells>
  <pageMargins left="0.70866141732283472" right="0.70866141732283472" top="0.55118110236220474" bottom="0.55118110236220474" header="0.31496062992125984" footer="0.31496062992125984"/>
  <pageSetup paperSize="9" scale="64" fitToWidth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1BA96-637B-484F-BB05-FD6B4649F35F}">
  <sheetPr codeName="Planilha14">
    <pageSetUpPr fitToPage="1"/>
  </sheetPr>
  <dimension ref="A1:V48"/>
  <sheetViews>
    <sheetView showGridLines="0" topLeftCell="A8" workbookViewId="0">
      <selection activeCell="J32" sqref="J32"/>
    </sheetView>
  </sheetViews>
  <sheetFormatPr defaultRowHeight="15"/>
  <cols>
    <col min="1" max="1" width="3.7109375" style="30" customWidth="1"/>
    <col min="2" max="2" width="8.140625" style="30" customWidth="1"/>
    <col min="3" max="3" width="3.42578125" style="30" customWidth="1"/>
    <col min="4" max="4" width="10.7109375" style="30" customWidth="1"/>
    <col min="5" max="5" width="6.7109375" style="30" customWidth="1"/>
    <col min="6" max="6" width="9.140625" style="30"/>
    <col min="7" max="7" width="7.28515625" style="30" customWidth="1"/>
    <col min="8" max="10" width="9.140625" style="30"/>
    <col min="11" max="11" width="11.5703125" style="30" customWidth="1"/>
    <col min="12" max="12" width="9.7109375" style="30" customWidth="1"/>
    <col min="13" max="21" width="9.140625" style="30"/>
    <col min="22" max="22" width="3.7109375" style="30" customWidth="1"/>
    <col min="23" max="16384" width="9.140625" style="30"/>
  </cols>
  <sheetData>
    <row r="1" spans="1:22">
      <c r="A1" s="44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45"/>
    </row>
    <row r="2" spans="1:22" ht="27">
      <c r="A2" s="46"/>
      <c r="B2" s="47" t="s">
        <v>330</v>
      </c>
      <c r="M2" s="47" t="s">
        <v>358</v>
      </c>
      <c r="V2" s="48"/>
    </row>
    <row r="3" spans="1:22" ht="27">
      <c r="A3" s="46"/>
      <c r="B3" s="47" t="s">
        <v>331</v>
      </c>
      <c r="V3" s="48"/>
    </row>
    <row r="4" spans="1:22">
      <c r="A4" s="46"/>
      <c r="M4" s="30" t="s">
        <v>417</v>
      </c>
      <c r="V4" s="48"/>
    </row>
    <row r="5" spans="1:22">
      <c r="A5" s="46"/>
      <c r="B5" s="151" t="s">
        <v>354</v>
      </c>
      <c r="C5" s="151"/>
      <c r="D5" s="151"/>
      <c r="E5" s="151"/>
      <c r="F5" s="151"/>
      <c r="G5" s="151"/>
      <c r="H5" s="151"/>
      <c r="I5" s="151"/>
      <c r="J5" s="151"/>
      <c r="K5" s="151"/>
      <c r="V5" s="48"/>
    </row>
    <row r="6" spans="1:22">
      <c r="A6" s="46"/>
      <c r="B6" s="151" t="s">
        <v>356</v>
      </c>
      <c r="C6" s="151"/>
      <c r="D6" s="151"/>
      <c r="E6" s="151"/>
      <c r="F6" s="151"/>
      <c r="G6" s="151"/>
      <c r="H6" s="151"/>
      <c r="I6" s="151"/>
      <c r="J6" s="151"/>
      <c r="K6" s="151"/>
      <c r="M6" s="151" t="s">
        <v>388</v>
      </c>
      <c r="N6" s="151"/>
      <c r="O6" s="151"/>
      <c r="P6" s="151"/>
      <c r="Q6" s="151"/>
      <c r="R6" s="151"/>
      <c r="S6" s="151"/>
      <c r="T6" s="151"/>
      <c r="U6" s="151"/>
      <c r="V6" s="48"/>
    </row>
    <row r="7" spans="1:22">
      <c r="A7" s="46"/>
      <c r="B7" s="30" t="s">
        <v>355</v>
      </c>
      <c r="M7" s="30" t="s">
        <v>359</v>
      </c>
      <c r="V7" s="48"/>
    </row>
    <row r="8" spans="1:22">
      <c r="A8" s="46"/>
      <c r="V8" s="48"/>
    </row>
    <row r="9" spans="1:22">
      <c r="A9" s="46"/>
      <c r="B9" s="152" t="s">
        <v>334</v>
      </c>
      <c r="C9" s="152"/>
      <c r="D9" s="152"/>
      <c r="E9" s="152"/>
      <c r="F9" s="152"/>
      <c r="G9" s="152"/>
      <c r="H9" s="152"/>
      <c r="I9" s="152"/>
      <c r="J9" s="152"/>
      <c r="K9" s="152"/>
      <c r="M9" s="30" t="s">
        <v>361</v>
      </c>
      <c r="V9" s="48"/>
    </row>
    <row r="10" spans="1:22">
      <c r="A10" s="46"/>
      <c r="B10" s="30" t="s">
        <v>335</v>
      </c>
      <c r="M10" s="30" t="s">
        <v>362</v>
      </c>
      <c r="V10" s="48"/>
    </row>
    <row r="11" spans="1:22">
      <c r="A11" s="46"/>
      <c r="B11" s="30" t="s">
        <v>332</v>
      </c>
      <c r="E11" s="33" t="str">
        <f>Máscara!M13</f>
        <v>Euro Import - Londrina</v>
      </c>
      <c r="F11" s="33"/>
      <c r="G11" s="33"/>
      <c r="H11" s="33"/>
      <c r="I11" s="33"/>
      <c r="J11" s="33"/>
      <c r="K11" s="33"/>
      <c r="M11" s="30" t="s">
        <v>363</v>
      </c>
      <c r="V11" s="48"/>
    </row>
    <row r="12" spans="1:22">
      <c r="A12" s="46"/>
      <c r="B12" s="30" t="s">
        <v>333</v>
      </c>
      <c r="D12" s="33" t="str">
        <f>Máscara!O8</f>
        <v>08.964.646/0001-09</v>
      </c>
      <c r="E12" s="33"/>
      <c r="F12" s="33"/>
      <c r="G12" s="33"/>
      <c r="H12" s="33"/>
      <c r="I12" s="33"/>
      <c r="J12" s="33"/>
      <c r="K12" s="33"/>
      <c r="M12" s="151" t="s">
        <v>364</v>
      </c>
      <c r="N12" s="151"/>
      <c r="O12" s="151"/>
      <c r="P12" s="151"/>
      <c r="Q12" s="151"/>
      <c r="R12" s="151"/>
      <c r="S12" s="151"/>
      <c r="T12" s="151"/>
      <c r="U12" s="151"/>
      <c r="V12" s="48"/>
    </row>
    <row r="13" spans="1:22">
      <c r="A13" s="46"/>
      <c r="B13" s="30" t="s">
        <v>336</v>
      </c>
      <c r="M13" s="30" t="s">
        <v>365</v>
      </c>
      <c r="V13" s="48"/>
    </row>
    <row r="14" spans="1:22">
      <c r="A14" s="46"/>
      <c r="B14" s="30" t="s">
        <v>337</v>
      </c>
      <c r="V14" s="48"/>
    </row>
    <row r="15" spans="1:22">
      <c r="A15" s="46"/>
      <c r="B15" s="49" t="s">
        <v>332</v>
      </c>
      <c r="E15" s="33" t="str">
        <f>Máscara!C16</f>
        <v>ELAINE SILVA</v>
      </c>
      <c r="F15" s="33"/>
      <c r="G15" s="33"/>
      <c r="H15" s="33"/>
      <c r="I15" s="33"/>
      <c r="J15" s="33"/>
      <c r="K15" s="33"/>
      <c r="V15" s="48"/>
    </row>
    <row r="16" spans="1:22">
      <c r="A16" s="46"/>
      <c r="B16" s="30" t="s">
        <v>338</v>
      </c>
      <c r="E16" s="34" t="str">
        <f>Máscara!E16</f>
        <v>123.456.789-00</v>
      </c>
      <c r="F16" s="34"/>
      <c r="G16" s="34"/>
      <c r="H16" s="34"/>
      <c r="I16" s="34"/>
      <c r="J16" s="34"/>
      <c r="K16" s="34"/>
      <c r="M16" s="30" t="s">
        <v>366</v>
      </c>
      <c r="V16" s="48"/>
    </row>
    <row r="17" spans="1:22">
      <c r="A17" s="46"/>
      <c r="V17" s="48"/>
    </row>
    <row r="18" spans="1:22">
      <c r="A18" s="46"/>
      <c r="B18" s="151" t="s">
        <v>339</v>
      </c>
      <c r="C18" s="151"/>
      <c r="D18" s="151"/>
      <c r="E18" s="151"/>
      <c r="F18" s="151"/>
      <c r="G18" s="151"/>
      <c r="H18" s="151"/>
      <c r="I18" s="151"/>
      <c r="J18" s="151"/>
      <c r="K18" s="151"/>
      <c r="M18" s="30" t="s">
        <v>367</v>
      </c>
      <c r="V18" s="48"/>
    </row>
    <row r="19" spans="1:22">
      <c r="A19" s="46"/>
      <c r="B19" s="151" t="s">
        <v>389</v>
      </c>
      <c r="C19" s="151"/>
      <c r="D19" s="151"/>
      <c r="E19" s="153" cm="1">
        <f t="array" ref="E19">Valor_a_pagar[VALOR A PAGAR]</f>
        <v>11321.234528644141</v>
      </c>
      <c r="F19" s="153"/>
      <c r="G19" s="151" t="s">
        <v>395</v>
      </c>
      <c r="H19" s="151"/>
      <c r="I19" s="151"/>
      <c r="J19" s="151"/>
      <c r="K19" s="151"/>
      <c r="V19" s="48"/>
    </row>
    <row r="20" spans="1:22">
      <c r="A20" s="46"/>
      <c r="B20" s="30" t="s">
        <v>396</v>
      </c>
      <c r="M20" s="151" t="s">
        <v>368</v>
      </c>
      <c r="N20" s="151"/>
      <c r="O20" s="151"/>
      <c r="P20" s="151"/>
      <c r="Q20" s="151"/>
      <c r="R20" s="151"/>
      <c r="S20" s="151"/>
      <c r="T20" s="151"/>
      <c r="U20" s="151"/>
      <c r="V20" s="48"/>
    </row>
    <row r="21" spans="1:22">
      <c r="A21" s="46"/>
      <c r="M21" s="151" t="s">
        <v>369</v>
      </c>
      <c r="N21" s="151"/>
      <c r="O21" s="151"/>
      <c r="P21" s="151"/>
      <c r="Q21" s="151"/>
      <c r="R21" s="151"/>
      <c r="S21" s="151"/>
      <c r="T21" s="151"/>
      <c r="U21" s="151"/>
      <c r="V21" s="48"/>
    </row>
    <row r="22" spans="1:22">
      <c r="A22" s="46"/>
      <c r="B22" s="30" t="s">
        <v>340</v>
      </c>
      <c r="C22" s="33" t="str">
        <f>Máscara!I13</f>
        <v>SÉRIE 3</v>
      </c>
      <c r="D22" s="33"/>
      <c r="E22" s="33"/>
      <c r="F22" s="33"/>
      <c r="G22" s="33"/>
      <c r="H22" s="33"/>
      <c r="I22" s="33"/>
      <c r="J22" s="33"/>
      <c r="K22" s="33"/>
      <c r="M22" s="30" t="s">
        <v>370</v>
      </c>
      <c r="V22" s="48"/>
    </row>
    <row r="23" spans="1:22">
      <c r="A23" s="46"/>
      <c r="B23" s="30" t="s">
        <v>341</v>
      </c>
      <c r="D23" s="34" t="str">
        <f>Máscara!G13</f>
        <v>2021/2022</v>
      </c>
      <c r="E23" s="34"/>
      <c r="F23" s="34"/>
      <c r="G23" s="34"/>
      <c r="H23" s="34"/>
      <c r="I23" s="34"/>
      <c r="J23" s="34"/>
      <c r="K23" s="34"/>
      <c r="V23" s="48"/>
    </row>
    <row r="24" spans="1:22">
      <c r="A24" s="46"/>
      <c r="B24" s="30" t="s">
        <v>342</v>
      </c>
      <c r="C24" s="33" t="str">
        <f>Máscara!C13</f>
        <v>9IJHFT6RES4A98765</v>
      </c>
      <c r="D24" s="33"/>
      <c r="E24" s="33"/>
      <c r="F24" s="33"/>
      <c r="G24" s="33"/>
      <c r="H24" s="33"/>
      <c r="I24" s="33"/>
      <c r="J24" s="33"/>
      <c r="K24" s="33"/>
      <c r="M24" s="151" t="s">
        <v>371</v>
      </c>
      <c r="N24" s="151"/>
      <c r="O24" s="151"/>
      <c r="P24" s="151"/>
      <c r="Q24" s="151"/>
      <c r="R24" s="151"/>
      <c r="S24" s="151"/>
      <c r="T24" s="151"/>
      <c r="U24" s="151"/>
      <c r="V24" s="48"/>
    </row>
    <row r="25" spans="1:22">
      <c r="A25" s="46"/>
      <c r="M25" s="151" t="s">
        <v>372</v>
      </c>
      <c r="N25" s="151"/>
      <c r="O25" s="151"/>
      <c r="P25" s="151"/>
      <c r="Q25" s="151"/>
      <c r="R25" s="151"/>
      <c r="S25" s="151"/>
      <c r="T25" s="151"/>
      <c r="U25" s="151"/>
      <c r="V25" s="48"/>
    </row>
    <row r="26" spans="1:22">
      <c r="A26" s="46"/>
      <c r="B26" s="151" t="s">
        <v>343</v>
      </c>
      <c r="C26" s="151"/>
      <c r="D26" s="151"/>
      <c r="E26" s="151"/>
      <c r="F26" s="151"/>
      <c r="G26" s="151"/>
      <c r="H26" s="151"/>
      <c r="I26" s="151"/>
      <c r="J26" s="151"/>
      <c r="K26" s="151"/>
      <c r="M26" s="30" t="s">
        <v>373</v>
      </c>
      <c r="V26" s="48"/>
    </row>
    <row r="27" spans="1:22">
      <c r="A27" s="46"/>
      <c r="B27" s="151" t="s">
        <v>344</v>
      </c>
      <c r="C27" s="151"/>
      <c r="D27" s="151"/>
      <c r="E27" s="151"/>
      <c r="F27" s="151"/>
      <c r="G27" s="151"/>
      <c r="H27" s="151"/>
      <c r="I27" s="151"/>
      <c r="J27" s="151"/>
      <c r="K27" s="151"/>
      <c r="V27" s="48"/>
    </row>
    <row r="28" spans="1:22">
      <c r="A28" s="46"/>
      <c r="B28" s="30" t="s">
        <v>390</v>
      </c>
      <c r="V28" s="48"/>
    </row>
    <row r="29" spans="1:22">
      <c r="A29" s="46"/>
      <c r="B29" s="30" t="s">
        <v>391</v>
      </c>
      <c r="M29" s="30" t="s">
        <v>374</v>
      </c>
      <c r="V29" s="48"/>
    </row>
    <row r="30" spans="1:22">
      <c r="A30" s="46"/>
      <c r="V30" s="48"/>
    </row>
    <row r="31" spans="1:22">
      <c r="A31" s="46"/>
      <c r="B31" s="30" t="s">
        <v>392</v>
      </c>
      <c r="F31" s="154">
        <f>Máscara!M16</f>
        <v>46083</v>
      </c>
      <c r="G31" s="154"/>
      <c r="H31" s="151" t="s">
        <v>360</v>
      </c>
      <c r="I31" s="151"/>
      <c r="J31" s="151"/>
      <c r="K31" s="151"/>
      <c r="M31" s="151" t="s">
        <v>375</v>
      </c>
      <c r="N31" s="151"/>
      <c r="O31" s="151"/>
      <c r="P31" s="151"/>
      <c r="Q31" s="151"/>
      <c r="R31" s="151"/>
      <c r="S31" s="151"/>
      <c r="T31" s="151"/>
      <c r="U31" s="151"/>
      <c r="V31" s="48"/>
    </row>
    <row r="32" spans="1:22">
      <c r="A32" s="46"/>
      <c r="B32" s="30" t="s">
        <v>357</v>
      </c>
      <c r="D32" s="155">
        <f>Máscara!M19</f>
        <v>80000</v>
      </c>
      <c r="E32" s="156"/>
      <c r="F32" s="30" t="s">
        <v>345</v>
      </c>
      <c r="M32" s="151" t="s">
        <v>376</v>
      </c>
      <c r="N32" s="151"/>
      <c r="O32" s="151"/>
      <c r="P32" s="151"/>
      <c r="Q32" s="151"/>
      <c r="R32" s="151"/>
      <c r="S32" s="151"/>
      <c r="T32" s="151"/>
      <c r="U32" s="151"/>
      <c r="V32" s="48"/>
    </row>
    <row r="33" spans="1:22">
      <c r="A33" s="46"/>
      <c r="M33" s="30" t="s">
        <v>377</v>
      </c>
      <c r="V33" s="48"/>
    </row>
    <row r="34" spans="1:22">
      <c r="A34" s="46"/>
      <c r="B34" s="151" t="s">
        <v>346</v>
      </c>
      <c r="C34" s="151"/>
      <c r="D34" s="151"/>
      <c r="E34" s="151"/>
      <c r="F34" s="151"/>
      <c r="G34" s="151"/>
      <c r="H34" s="151"/>
      <c r="I34" s="151"/>
      <c r="J34" s="151"/>
      <c r="K34" s="151"/>
      <c r="V34" s="48"/>
    </row>
    <row r="35" spans="1:22">
      <c r="A35" s="46"/>
      <c r="B35" s="151" t="s">
        <v>393</v>
      </c>
      <c r="C35" s="151"/>
      <c r="D35" s="151"/>
      <c r="E35" s="151"/>
      <c r="F35" s="151"/>
      <c r="G35" s="151"/>
      <c r="H35" s="151"/>
      <c r="I35" s="151"/>
      <c r="J35" s="151"/>
      <c r="K35" s="151"/>
      <c r="M35" s="151" t="s">
        <v>378</v>
      </c>
      <c r="N35" s="151"/>
      <c r="O35" s="151"/>
      <c r="P35" s="151"/>
      <c r="Q35" s="151"/>
      <c r="R35" s="151"/>
      <c r="S35" s="151"/>
      <c r="T35" s="151"/>
      <c r="U35" s="151"/>
      <c r="V35" s="48"/>
    </row>
    <row r="36" spans="1:22">
      <c r="A36" s="46"/>
      <c r="B36" s="30" t="s">
        <v>394</v>
      </c>
      <c r="M36" s="151" t="s">
        <v>379</v>
      </c>
      <c r="N36" s="151"/>
      <c r="O36" s="151"/>
      <c r="P36" s="151"/>
      <c r="Q36" s="151"/>
      <c r="R36" s="151"/>
      <c r="S36" s="151"/>
      <c r="T36" s="151"/>
      <c r="U36" s="151"/>
      <c r="V36" s="48"/>
    </row>
    <row r="37" spans="1:22">
      <c r="A37" s="46"/>
      <c r="M37" s="151" t="s">
        <v>380</v>
      </c>
      <c r="N37" s="151"/>
      <c r="O37" s="151"/>
      <c r="P37" s="151"/>
      <c r="Q37" s="151"/>
      <c r="R37" s="151"/>
      <c r="S37" s="151"/>
      <c r="T37" s="151"/>
      <c r="U37" s="151"/>
      <c r="V37" s="48"/>
    </row>
    <row r="38" spans="1:22">
      <c r="A38" s="46"/>
      <c r="B38" s="151" t="s">
        <v>347</v>
      </c>
      <c r="C38" s="151"/>
      <c r="D38" s="151"/>
      <c r="E38" s="151"/>
      <c r="F38" s="151"/>
      <c r="G38" s="151"/>
      <c r="H38" s="151"/>
      <c r="I38" s="151"/>
      <c r="J38" s="151"/>
      <c r="K38" s="151"/>
      <c r="M38" s="151" t="s">
        <v>381</v>
      </c>
      <c r="N38" s="151"/>
      <c r="O38" s="151"/>
      <c r="P38" s="151"/>
      <c r="Q38" s="151"/>
      <c r="R38" s="151"/>
      <c r="S38" s="151"/>
      <c r="T38" s="151"/>
      <c r="U38" s="151"/>
      <c r="V38" s="48"/>
    </row>
    <row r="39" spans="1:22">
      <c r="A39" s="46"/>
      <c r="B39" s="151" t="s">
        <v>348</v>
      </c>
      <c r="C39" s="151"/>
      <c r="D39" s="151"/>
      <c r="E39" s="151"/>
      <c r="F39" s="151"/>
      <c r="G39" s="151"/>
      <c r="H39" s="151"/>
      <c r="I39" s="151"/>
      <c r="J39" s="151"/>
      <c r="K39" s="151"/>
      <c r="M39" s="30" t="s">
        <v>382</v>
      </c>
      <c r="V39" s="48"/>
    </row>
    <row r="40" spans="1:22">
      <c r="A40" s="46"/>
      <c r="B40" s="30" t="s">
        <v>349</v>
      </c>
      <c r="V40" s="48"/>
    </row>
    <row r="41" spans="1:22">
      <c r="A41" s="46"/>
      <c r="V41" s="48"/>
    </row>
    <row r="42" spans="1:22">
      <c r="A42" s="46"/>
      <c r="B42" s="30" t="s">
        <v>350</v>
      </c>
      <c r="C42" s="154">
        <f>Máscara!C21</f>
        <v>44838</v>
      </c>
      <c r="D42" s="154"/>
      <c r="E42" s="154"/>
      <c r="M42" s="30" t="s">
        <v>383</v>
      </c>
      <c r="V42" s="48"/>
    </row>
    <row r="43" spans="1:22">
      <c r="A43" s="46"/>
      <c r="V43" s="48"/>
    </row>
    <row r="44" spans="1:22">
      <c r="A44" s="46"/>
      <c r="M44" s="151" t="s">
        <v>384</v>
      </c>
      <c r="N44" s="151"/>
      <c r="O44" s="151"/>
      <c r="P44" s="151"/>
      <c r="Q44" s="151"/>
      <c r="R44" s="151"/>
      <c r="S44" s="151"/>
      <c r="T44" s="151"/>
      <c r="U44" s="151"/>
      <c r="V44" s="48"/>
    </row>
    <row r="45" spans="1:22">
      <c r="A45" s="46"/>
      <c r="M45" s="151" t="s">
        <v>385</v>
      </c>
      <c r="N45" s="151"/>
      <c r="O45" s="151"/>
      <c r="P45" s="151"/>
      <c r="Q45" s="151"/>
      <c r="R45" s="151"/>
      <c r="S45" s="151"/>
      <c r="T45" s="151"/>
      <c r="U45" s="151"/>
      <c r="V45" s="48"/>
    </row>
    <row r="46" spans="1:22">
      <c r="A46" s="46"/>
      <c r="B46" s="31" t="s">
        <v>351</v>
      </c>
      <c r="C46" s="31"/>
      <c r="D46" s="31"/>
      <c r="E46" s="31"/>
      <c r="F46" s="31"/>
      <c r="H46" s="32" t="s">
        <v>352</v>
      </c>
      <c r="I46" s="31"/>
      <c r="J46" s="31"/>
      <c r="K46" s="31"/>
      <c r="M46" s="151" t="s">
        <v>386</v>
      </c>
      <c r="N46" s="151"/>
      <c r="O46" s="151"/>
      <c r="P46" s="151"/>
      <c r="Q46" s="151"/>
      <c r="R46" s="151"/>
      <c r="S46" s="151"/>
      <c r="T46" s="151"/>
      <c r="U46" s="151"/>
      <c r="V46" s="48"/>
    </row>
    <row r="47" spans="1:22">
      <c r="A47" s="46"/>
      <c r="H47" s="50" t="s">
        <v>353</v>
      </c>
      <c r="M47" s="30" t="s">
        <v>387</v>
      </c>
      <c r="V47" s="48"/>
    </row>
    <row r="48" spans="1:22">
      <c r="A48" s="51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52"/>
    </row>
  </sheetData>
  <sheetProtection sheet="1" objects="1" scenarios="1"/>
  <mergeCells count="32">
    <mergeCell ref="M45:U45"/>
    <mergeCell ref="M46:U46"/>
    <mergeCell ref="M37:U37"/>
    <mergeCell ref="B38:K38"/>
    <mergeCell ref="M38:U38"/>
    <mergeCell ref="B39:K39"/>
    <mergeCell ref="C42:E42"/>
    <mergeCell ref="M44:U44"/>
    <mergeCell ref="M36:U36"/>
    <mergeCell ref="M25:U25"/>
    <mergeCell ref="B26:K26"/>
    <mergeCell ref="B27:K27"/>
    <mergeCell ref="F31:G31"/>
    <mergeCell ref="H31:K31"/>
    <mergeCell ref="M31:U31"/>
    <mergeCell ref="D32:E32"/>
    <mergeCell ref="M32:U32"/>
    <mergeCell ref="B34:K34"/>
    <mergeCell ref="B35:K35"/>
    <mergeCell ref="M35:U35"/>
    <mergeCell ref="M24:U24"/>
    <mergeCell ref="B5:K5"/>
    <mergeCell ref="B6:K6"/>
    <mergeCell ref="M6:U6"/>
    <mergeCell ref="B9:K9"/>
    <mergeCell ref="M12:U12"/>
    <mergeCell ref="B18:K18"/>
    <mergeCell ref="B19:D19"/>
    <mergeCell ref="E19:F19"/>
    <mergeCell ref="G19:K19"/>
    <mergeCell ref="M20:U20"/>
    <mergeCell ref="M21:U21"/>
  </mergeCells>
  <pageMargins left="0.70866141732283472" right="0.70866141732283472" top="0.55118110236220474" bottom="0.55118110236220474" header="0.31496062992125984" footer="0.31496062992125984"/>
  <pageSetup paperSize="9" scale="71" fitToWidth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2B8EB-B7A6-4AFE-8CF6-BC33BCFEB7C2}">
  <sheetPr codeName="Planilha12">
    <tabColor rgb="FFFF0000"/>
    <pageSetUpPr fitToPage="1"/>
  </sheetPr>
  <dimension ref="A1:V50"/>
  <sheetViews>
    <sheetView showGridLines="0" topLeftCell="A30" zoomScaleNormal="100" workbookViewId="0">
      <selection activeCell="J35" sqref="J35"/>
    </sheetView>
  </sheetViews>
  <sheetFormatPr defaultRowHeight="15"/>
  <cols>
    <col min="1" max="1" width="3.7109375" style="71" customWidth="1"/>
    <col min="2" max="2" width="8.140625" style="71" customWidth="1"/>
    <col min="3" max="3" width="6" style="71" customWidth="1"/>
    <col min="4" max="4" width="12.7109375" style="71" customWidth="1"/>
    <col min="5" max="5" width="6.7109375" style="71" customWidth="1"/>
    <col min="6" max="6" width="5.85546875" style="71" customWidth="1"/>
    <col min="7" max="7" width="7.28515625" style="71" customWidth="1"/>
    <col min="8" max="10" width="9.140625" style="71"/>
    <col min="11" max="11" width="13.85546875" style="71" customWidth="1"/>
    <col min="12" max="12" width="9.7109375" style="71" customWidth="1"/>
    <col min="13" max="20" width="9.140625" style="71"/>
    <col min="21" max="21" width="10" style="71" customWidth="1"/>
    <col min="22" max="22" width="3.7109375" style="71" customWidth="1"/>
    <col min="23" max="16384" width="9.140625" style="71"/>
  </cols>
  <sheetData>
    <row r="1" spans="1:22">
      <c r="A1" s="68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70"/>
    </row>
    <row r="2" spans="1:22" ht="27">
      <c r="A2" s="72"/>
      <c r="B2" s="73" t="s">
        <v>330</v>
      </c>
      <c r="M2" s="73" t="s">
        <v>358</v>
      </c>
      <c r="V2" s="74"/>
    </row>
    <row r="3" spans="1:22" ht="27">
      <c r="A3" s="72"/>
      <c r="B3" s="73" t="s">
        <v>599</v>
      </c>
      <c r="V3" s="74"/>
    </row>
    <row r="4" spans="1:22">
      <c r="A4" s="72"/>
      <c r="M4" s="71" t="s">
        <v>417</v>
      </c>
      <c r="V4" s="74"/>
    </row>
    <row r="5" spans="1:22" ht="15" customHeight="1">
      <c r="A5" s="72"/>
      <c r="B5" s="144" t="s">
        <v>600</v>
      </c>
      <c r="C5" s="144"/>
      <c r="D5" s="144"/>
      <c r="E5" s="144"/>
      <c r="F5" s="144"/>
      <c r="G5" s="144"/>
      <c r="H5" s="144"/>
      <c r="I5" s="144"/>
      <c r="J5" s="144"/>
      <c r="K5" s="144"/>
      <c r="V5" s="74"/>
    </row>
    <row r="6" spans="1:22" ht="15" customHeight="1">
      <c r="A6" s="72"/>
      <c r="B6" s="144" t="s">
        <v>601</v>
      </c>
      <c r="C6" s="144"/>
      <c r="D6" s="144"/>
      <c r="E6" s="144"/>
      <c r="F6" s="144"/>
      <c r="G6" s="144"/>
      <c r="H6" s="144"/>
      <c r="I6" s="144"/>
      <c r="J6" s="144"/>
      <c r="K6" s="144"/>
      <c r="M6" s="144" t="s">
        <v>515</v>
      </c>
      <c r="N6" s="144"/>
      <c r="O6" s="144"/>
      <c r="P6" s="144"/>
      <c r="Q6" s="144"/>
      <c r="R6" s="144"/>
      <c r="S6" s="144"/>
      <c r="T6" s="144"/>
      <c r="U6" s="144"/>
      <c r="V6" s="74"/>
    </row>
    <row r="7" spans="1:22">
      <c r="A7" s="72"/>
      <c r="B7" s="71" t="s">
        <v>602</v>
      </c>
      <c r="M7" s="71" t="s">
        <v>545</v>
      </c>
      <c r="V7" s="74"/>
    </row>
    <row r="8" spans="1:22">
      <c r="A8" s="72"/>
      <c r="V8" s="74"/>
    </row>
    <row r="9" spans="1:22" ht="15" customHeight="1">
      <c r="A9" s="72"/>
      <c r="B9" s="144" t="s">
        <v>334</v>
      </c>
      <c r="C9" s="144"/>
      <c r="D9" s="144"/>
      <c r="E9" s="144"/>
      <c r="F9" s="144"/>
      <c r="G9" s="144"/>
      <c r="H9" s="144"/>
      <c r="I9" s="144"/>
      <c r="J9" s="144"/>
      <c r="K9" s="144"/>
      <c r="M9" s="71" t="s">
        <v>361</v>
      </c>
      <c r="V9" s="74"/>
    </row>
    <row r="10" spans="1:22">
      <c r="A10" s="72"/>
      <c r="B10" s="71" t="s">
        <v>335</v>
      </c>
      <c r="M10" s="71" t="s">
        <v>362</v>
      </c>
      <c r="V10" s="74"/>
    </row>
    <row r="11" spans="1:22">
      <c r="A11" s="72"/>
      <c r="B11" s="71" t="s">
        <v>332</v>
      </c>
      <c r="E11" s="75" t="str">
        <f>Máscara!M13</f>
        <v>Euro Import - Londrina</v>
      </c>
      <c r="F11" s="75"/>
      <c r="G11" s="75"/>
      <c r="H11" s="75"/>
      <c r="I11" s="75"/>
      <c r="J11" s="75"/>
      <c r="K11" s="75"/>
      <c r="M11" s="71" t="s">
        <v>363</v>
      </c>
      <c r="V11" s="74"/>
    </row>
    <row r="12" spans="1:22" ht="15" customHeight="1">
      <c r="A12" s="72"/>
      <c r="B12" s="71" t="s">
        <v>333</v>
      </c>
      <c r="D12" s="75" t="str">
        <f>Máscara!O8</f>
        <v>08.964.646/0001-09</v>
      </c>
      <c r="E12" s="75"/>
      <c r="F12" s="75"/>
      <c r="G12" s="75"/>
      <c r="H12" s="75"/>
      <c r="I12" s="75"/>
      <c r="J12" s="75"/>
      <c r="K12" s="75"/>
      <c r="M12" s="80" t="s">
        <v>516</v>
      </c>
      <c r="N12" s="80"/>
      <c r="O12" s="80"/>
      <c r="P12" s="80"/>
      <c r="Q12" s="80"/>
      <c r="R12" s="80"/>
      <c r="S12" s="80"/>
      <c r="T12" s="80"/>
      <c r="U12" s="80"/>
      <c r="V12" s="74"/>
    </row>
    <row r="13" spans="1:22">
      <c r="A13" s="72"/>
      <c r="B13" s="71" t="s">
        <v>336</v>
      </c>
      <c r="M13" s="71" t="s">
        <v>517</v>
      </c>
      <c r="V13" s="74"/>
    </row>
    <row r="14" spans="1:22">
      <c r="A14" s="72"/>
      <c r="B14" s="71" t="s">
        <v>337</v>
      </c>
      <c r="V14" s="74"/>
    </row>
    <row r="15" spans="1:22">
      <c r="A15" s="72"/>
      <c r="B15" s="76" t="s">
        <v>332</v>
      </c>
      <c r="E15" s="75" t="str">
        <f>Máscara!C16</f>
        <v>ELAINE SILVA</v>
      </c>
      <c r="F15" s="75"/>
      <c r="G15" s="75"/>
      <c r="H15" s="75"/>
      <c r="I15" s="75"/>
      <c r="J15" s="75"/>
      <c r="K15" s="75"/>
      <c r="M15" s="71" t="s">
        <v>366</v>
      </c>
      <c r="V15" s="74"/>
    </row>
    <row r="16" spans="1:22">
      <c r="A16" s="72"/>
      <c r="B16" s="71" t="s">
        <v>338</v>
      </c>
      <c r="E16" s="77" t="str">
        <f>Máscara!E16</f>
        <v>123.456.789-00</v>
      </c>
      <c r="F16" s="77"/>
      <c r="G16" s="77"/>
      <c r="H16" s="77"/>
      <c r="I16" s="77"/>
      <c r="J16" s="77"/>
      <c r="K16" s="77"/>
      <c r="V16" s="74"/>
    </row>
    <row r="17" spans="1:22">
      <c r="A17" s="72"/>
      <c r="M17" s="71" t="s">
        <v>367</v>
      </c>
      <c r="V17" s="74"/>
    </row>
    <row r="18" spans="1:22" ht="15" customHeight="1">
      <c r="A18" s="72"/>
      <c r="B18" s="144" t="s">
        <v>500</v>
      </c>
      <c r="C18" s="144"/>
      <c r="D18" s="144"/>
      <c r="E18" s="144"/>
      <c r="F18" s="144"/>
      <c r="G18" s="144"/>
      <c r="H18" s="144"/>
      <c r="I18" s="144"/>
      <c r="J18" s="144"/>
      <c r="K18" s="144"/>
      <c r="V18" s="74"/>
    </row>
    <row r="19" spans="1:22" ht="15" customHeight="1">
      <c r="A19" s="72"/>
      <c r="B19" s="144" t="s">
        <v>501</v>
      </c>
      <c r="C19" s="144"/>
      <c r="D19" s="144"/>
      <c r="E19" s="144"/>
      <c r="F19" s="144"/>
      <c r="G19" s="147" cm="1">
        <f t="array" ref="G19">Valor_a_pagar[VALOR A PAGAR]</f>
        <v>11321.234528644141</v>
      </c>
      <c r="H19" s="147"/>
      <c r="I19" s="144" t="s">
        <v>603</v>
      </c>
      <c r="J19" s="144"/>
      <c r="K19" s="144"/>
      <c r="M19" s="144" t="s">
        <v>518</v>
      </c>
      <c r="N19" s="144"/>
      <c r="O19" s="144"/>
      <c r="P19" s="144"/>
      <c r="Q19" s="144"/>
      <c r="R19" s="144"/>
      <c r="S19" s="144"/>
      <c r="T19" s="144"/>
      <c r="U19" s="144"/>
      <c r="V19" s="74"/>
    </row>
    <row r="20" spans="1:22" ht="15" customHeight="1">
      <c r="A20" s="72"/>
      <c r="B20" s="71" t="s">
        <v>604</v>
      </c>
      <c r="M20" s="144" t="s">
        <v>519</v>
      </c>
      <c r="N20" s="144"/>
      <c r="O20" s="144"/>
      <c r="P20" s="144"/>
      <c r="Q20" s="144"/>
      <c r="R20" s="144"/>
      <c r="S20" s="144"/>
      <c r="T20" s="144"/>
      <c r="U20" s="144"/>
      <c r="V20" s="74"/>
    </row>
    <row r="21" spans="1:22" ht="15" customHeight="1">
      <c r="A21" s="72"/>
      <c r="B21" s="71" t="s">
        <v>396</v>
      </c>
      <c r="M21" s="71" t="s">
        <v>520</v>
      </c>
      <c r="N21" s="80"/>
      <c r="O21" s="80"/>
      <c r="P21" s="80"/>
      <c r="Q21" s="80"/>
      <c r="R21" s="80"/>
      <c r="S21" s="80"/>
      <c r="T21" s="80"/>
      <c r="U21" s="80"/>
      <c r="V21" s="74"/>
    </row>
    <row r="22" spans="1:22">
      <c r="A22" s="72"/>
      <c r="V22" s="74"/>
    </row>
    <row r="23" spans="1:22">
      <c r="A23" s="72"/>
      <c r="B23" s="71" t="s">
        <v>340</v>
      </c>
      <c r="D23" s="75" t="str">
        <f>Máscara!I13</f>
        <v>SÉRIE 3</v>
      </c>
      <c r="E23" s="75"/>
      <c r="F23" s="75"/>
      <c r="G23" s="75"/>
      <c r="H23" s="75"/>
      <c r="I23" s="75"/>
      <c r="J23" s="75"/>
      <c r="K23" s="75"/>
      <c r="M23" s="144" t="s">
        <v>533</v>
      </c>
      <c r="N23" s="144"/>
      <c r="O23" s="144"/>
      <c r="P23" s="144"/>
      <c r="Q23" s="144"/>
      <c r="R23" s="144"/>
      <c r="S23" s="144"/>
      <c r="T23" s="144"/>
      <c r="U23" s="144"/>
      <c r="V23" s="74"/>
    </row>
    <row r="24" spans="1:22" ht="15" customHeight="1">
      <c r="A24" s="72"/>
      <c r="B24" s="71" t="s">
        <v>342</v>
      </c>
      <c r="C24" s="75" t="str">
        <f>Máscara!C13</f>
        <v>9IJHFT6RES4A98765</v>
      </c>
      <c r="D24" s="75"/>
      <c r="E24" s="75"/>
      <c r="F24" s="75"/>
      <c r="G24" s="75"/>
      <c r="H24" s="75"/>
      <c r="I24" s="75"/>
      <c r="J24" s="75"/>
      <c r="K24" s="75"/>
      <c r="M24" s="144" t="s">
        <v>534</v>
      </c>
      <c r="N24" s="144"/>
      <c r="O24" s="144"/>
      <c r="P24" s="144"/>
      <c r="Q24" s="144"/>
      <c r="R24" s="144"/>
      <c r="S24" s="144"/>
      <c r="T24" s="144"/>
      <c r="U24" s="144"/>
      <c r="V24" s="74"/>
    </row>
    <row r="25" spans="1:22" ht="15" customHeight="1">
      <c r="A25" s="72"/>
      <c r="M25" s="144" t="s">
        <v>521</v>
      </c>
      <c r="N25" s="145"/>
      <c r="O25" s="145"/>
      <c r="P25" s="145"/>
      <c r="Q25" s="145"/>
      <c r="R25" s="145"/>
      <c r="S25" s="145"/>
      <c r="T25" s="145"/>
      <c r="U25" s="145"/>
      <c r="V25" s="74"/>
    </row>
    <row r="26" spans="1:22" ht="15" customHeight="1">
      <c r="A26" s="72"/>
      <c r="B26" s="144" t="s">
        <v>502</v>
      </c>
      <c r="C26" s="144"/>
      <c r="D26" s="144"/>
      <c r="E26" s="144"/>
      <c r="F26" s="144"/>
      <c r="G26" s="144"/>
      <c r="H26" s="144"/>
      <c r="I26" s="144"/>
      <c r="J26" s="144"/>
      <c r="K26" s="144"/>
      <c r="M26" s="71" t="s">
        <v>522</v>
      </c>
      <c r="V26" s="74"/>
    </row>
    <row r="27" spans="1:22" ht="15" customHeight="1">
      <c r="A27" s="72"/>
      <c r="B27" s="144" t="s">
        <v>503</v>
      </c>
      <c r="C27" s="144"/>
      <c r="D27" s="144"/>
      <c r="E27" s="144"/>
      <c r="F27" s="144"/>
      <c r="G27" s="144"/>
      <c r="H27" s="144"/>
      <c r="I27" s="144"/>
      <c r="J27" s="144"/>
      <c r="K27" s="144"/>
      <c r="V27" s="74"/>
    </row>
    <row r="28" spans="1:22" ht="15.75">
      <c r="A28" s="72"/>
      <c r="B28" s="144" t="s">
        <v>607</v>
      </c>
      <c r="C28" s="145"/>
      <c r="D28" s="145"/>
      <c r="E28" s="145"/>
      <c r="F28" s="145"/>
      <c r="G28" s="145"/>
      <c r="H28" s="145"/>
      <c r="I28" s="145"/>
      <c r="J28" s="145"/>
      <c r="K28" s="145"/>
      <c r="M28" s="71" t="s">
        <v>374</v>
      </c>
      <c r="V28" s="74"/>
    </row>
    <row r="29" spans="1:22" ht="15.75">
      <c r="A29" s="72"/>
      <c r="B29" s="144" t="s">
        <v>608</v>
      </c>
      <c r="C29" s="145"/>
      <c r="D29" s="145"/>
      <c r="E29" s="145"/>
      <c r="F29" s="145"/>
      <c r="G29" s="145"/>
      <c r="H29" s="145"/>
      <c r="I29" s="145"/>
      <c r="J29" s="145"/>
      <c r="K29" s="145"/>
      <c r="V29" s="74"/>
    </row>
    <row r="30" spans="1:22" ht="15.75">
      <c r="A30" s="72"/>
      <c r="B30" s="71" t="s">
        <v>609</v>
      </c>
      <c r="M30" s="144" t="s">
        <v>523</v>
      </c>
      <c r="N30" s="145"/>
      <c r="O30" s="145"/>
      <c r="P30" s="145"/>
      <c r="Q30" s="145"/>
      <c r="R30" s="145"/>
      <c r="S30" s="145"/>
      <c r="T30" s="145"/>
      <c r="U30" s="145"/>
      <c r="V30" s="74"/>
    </row>
    <row r="31" spans="1:22" ht="15.75">
      <c r="A31" s="72"/>
      <c r="B31" s="71" t="s">
        <v>610</v>
      </c>
      <c r="M31" s="144" t="s">
        <v>524</v>
      </c>
      <c r="N31" s="145"/>
      <c r="O31" s="145"/>
      <c r="P31" s="145"/>
      <c r="Q31" s="145"/>
      <c r="R31" s="145"/>
      <c r="S31" s="145"/>
      <c r="T31" s="145"/>
      <c r="U31" s="145"/>
      <c r="V31" s="74"/>
    </row>
    <row r="32" spans="1:22" ht="15" customHeight="1">
      <c r="A32" s="72"/>
      <c r="M32" s="144" t="s">
        <v>566</v>
      </c>
      <c r="N32" s="145"/>
      <c r="O32" s="145"/>
      <c r="P32" s="145"/>
      <c r="Q32" s="145"/>
      <c r="R32" s="145"/>
      <c r="S32" s="145"/>
      <c r="T32" s="145"/>
      <c r="U32" s="145"/>
      <c r="V32" s="74"/>
    </row>
    <row r="33" spans="1:22" ht="15" customHeight="1">
      <c r="A33" s="72"/>
      <c r="B33" s="144" t="s">
        <v>611</v>
      </c>
      <c r="C33" s="144"/>
      <c r="D33" s="144"/>
      <c r="E33" s="144"/>
      <c r="F33" s="144"/>
      <c r="G33" s="144"/>
      <c r="H33" s="144"/>
      <c r="I33" s="144"/>
      <c r="J33" s="144"/>
      <c r="K33" s="115">
        <f>Máscara!M16</f>
        <v>46083</v>
      </c>
      <c r="M33" s="71" t="s">
        <v>567</v>
      </c>
      <c r="U33" s="80"/>
      <c r="V33" s="74"/>
    </row>
    <row r="34" spans="1:22" ht="15" customHeight="1">
      <c r="A34" s="72"/>
      <c r="B34" s="80" t="s">
        <v>612</v>
      </c>
      <c r="C34" s="116"/>
      <c r="E34" s="80"/>
      <c r="F34" s="80"/>
      <c r="I34" s="157"/>
      <c r="J34" s="157"/>
      <c r="K34" s="114"/>
      <c r="V34" s="74"/>
    </row>
    <row r="35" spans="1:22" ht="15" customHeight="1">
      <c r="A35" s="72"/>
      <c r="B35" s="80"/>
      <c r="C35" s="80"/>
      <c r="D35" s="80"/>
      <c r="E35" s="80"/>
      <c r="M35" s="144" t="s">
        <v>525</v>
      </c>
      <c r="N35" s="145"/>
      <c r="O35" s="145"/>
      <c r="P35" s="145"/>
      <c r="Q35" s="145"/>
      <c r="R35" s="145"/>
      <c r="S35" s="145"/>
      <c r="T35" s="145"/>
      <c r="U35" s="145"/>
      <c r="V35" s="74"/>
    </row>
    <row r="36" spans="1:22" ht="15" customHeight="1">
      <c r="A36" s="72"/>
      <c r="B36" s="158" t="s">
        <v>509</v>
      </c>
      <c r="C36" s="158"/>
      <c r="D36" s="158"/>
      <c r="E36" s="158"/>
      <c r="F36" s="158"/>
      <c r="G36" s="158"/>
      <c r="H36" s="158"/>
      <c r="I36" s="158"/>
      <c r="J36" s="158"/>
      <c r="K36" s="158"/>
      <c r="M36" s="144" t="s">
        <v>526</v>
      </c>
      <c r="N36" s="145"/>
      <c r="O36" s="145"/>
      <c r="P36" s="145"/>
      <c r="Q36" s="145"/>
      <c r="R36" s="145"/>
      <c r="S36" s="145"/>
      <c r="T36" s="145"/>
      <c r="U36" s="145"/>
      <c r="V36" s="74"/>
    </row>
    <row r="37" spans="1:22" ht="15" customHeight="1">
      <c r="A37" s="72"/>
      <c r="B37" s="158" t="s">
        <v>510</v>
      </c>
      <c r="C37" s="158"/>
      <c r="D37" s="158"/>
      <c r="E37" s="158"/>
      <c r="F37" s="158"/>
      <c r="G37" s="158"/>
      <c r="H37" s="158"/>
      <c r="I37" s="158"/>
      <c r="J37" s="158"/>
      <c r="K37" s="158"/>
      <c r="M37" s="144" t="s">
        <v>569</v>
      </c>
      <c r="N37" s="145"/>
      <c r="O37" s="145"/>
      <c r="P37" s="145"/>
      <c r="Q37" s="145"/>
      <c r="R37" s="145"/>
      <c r="S37" s="145"/>
      <c r="T37" s="145"/>
      <c r="U37" s="145"/>
      <c r="V37" s="74"/>
    </row>
    <row r="38" spans="1:22" ht="15" customHeight="1">
      <c r="A38" s="72"/>
      <c r="B38" s="117" t="s">
        <v>511</v>
      </c>
      <c r="C38" s="117"/>
      <c r="D38" s="117"/>
      <c r="E38" s="117"/>
      <c r="F38" s="117"/>
      <c r="G38" s="117"/>
      <c r="H38" s="117"/>
      <c r="I38" s="117"/>
      <c r="J38" s="117"/>
      <c r="K38" s="117"/>
      <c r="M38" s="144" t="s">
        <v>527</v>
      </c>
      <c r="N38" s="145"/>
      <c r="O38" s="145"/>
      <c r="P38" s="145"/>
      <c r="Q38" s="145"/>
      <c r="R38" s="145"/>
      <c r="S38" s="145"/>
      <c r="T38" s="145"/>
      <c r="U38" s="145"/>
      <c r="V38" s="74"/>
    </row>
    <row r="39" spans="1:22" ht="15" customHeight="1">
      <c r="A39" s="72"/>
      <c r="M39" s="144" t="s">
        <v>528</v>
      </c>
      <c r="N39" s="145"/>
      <c r="O39" s="145"/>
      <c r="P39" s="145"/>
      <c r="Q39" s="145"/>
      <c r="R39" s="145"/>
      <c r="S39" s="145"/>
      <c r="T39" s="145"/>
      <c r="U39" s="145"/>
      <c r="V39" s="74"/>
    </row>
    <row r="40" spans="1:22" ht="15" customHeight="1">
      <c r="A40" s="72"/>
      <c r="B40" s="144" t="s">
        <v>512</v>
      </c>
      <c r="C40" s="144"/>
      <c r="D40" s="144"/>
      <c r="E40" s="144"/>
      <c r="F40" s="144"/>
      <c r="G40" s="144"/>
      <c r="H40" s="144"/>
      <c r="I40" s="144"/>
      <c r="J40" s="144"/>
      <c r="K40" s="144"/>
      <c r="M40" s="71" t="s">
        <v>529</v>
      </c>
      <c r="V40" s="74"/>
    </row>
    <row r="41" spans="1:22">
      <c r="A41" s="72"/>
      <c r="B41" s="144" t="s">
        <v>513</v>
      </c>
      <c r="C41" s="144"/>
      <c r="D41" s="144"/>
      <c r="E41" s="144"/>
      <c r="F41" s="144"/>
      <c r="G41" s="144"/>
      <c r="H41" s="144"/>
      <c r="I41" s="144"/>
      <c r="J41" s="144"/>
      <c r="K41" s="144"/>
      <c r="V41" s="74"/>
    </row>
    <row r="42" spans="1:22">
      <c r="A42" s="72"/>
      <c r="B42" s="71" t="s">
        <v>514</v>
      </c>
      <c r="M42" s="71" t="s">
        <v>383</v>
      </c>
      <c r="V42" s="74"/>
    </row>
    <row r="43" spans="1:22">
      <c r="A43" s="72"/>
      <c r="V43" s="74"/>
    </row>
    <row r="44" spans="1:22" ht="15.75">
      <c r="A44" s="72"/>
      <c r="B44" s="71" t="s">
        <v>350</v>
      </c>
      <c r="C44" s="146">
        <f>Máscara!C21</f>
        <v>44838</v>
      </c>
      <c r="D44" s="146"/>
      <c r="E44" s="146"/>
      <c r="M44" s="144" t="s">
        <v>530</v>
      </c>
      <c r="N44" s="145"/>
      <c r="O44" s="145"/>
      <c r="P44" s="145"/>
      <c r="Q44" s="145"/>
      <c r="R44" s="145"/>
      <c r="S44" s="145"/>
      <c r="T44" s="145"/>
      <c r="U44" s="145"/>
      <c r="V44" s="74"/>
    </row>
    <row r="45" spans="1:22" ht="15" customHeight="1">
      <c r="A45" s="72"/>
      <c r="M45" s="144" t="s">
        <v>536</v>
      </c>
      <c r="N45" s="145"/>
      <c r="O45" s="145"/>
      <c r="P45" s="145"/>
      <c r="Q45" s="145"/>
      <c r="R45" s="145"/>
      <c r="S45" s="145"/>
      <c r="T45" s="145"/>
      <c r="U45" s="145"/>
      <c r="V45" s="74"/>
    </row>
    <row r="46" spans="1:22" ht="15" customHeight="1">
      <c r="A46" s="72"/>
      <c r="M46" s="144" t="s">
        <v>531</v>
      </c>
      <c r="N46" s="145"/>
      <c r="O46" s="145"/>
      <c r="P46" s="145"/>
      <c r="Q46" s="145"/>
      <c r="R46" s="145"/>
      <c r="S46" s="145"/>
      <c r="T46" s="145"/>
      <c r="U46" s="145"/>
      <c r="V46" s="74"/>
    </row>
    <row r="47" spans="1:22" ht="15" customHeight="1">
      <c r="A47" s="72"/>
      <c r="M47" s="71" t="s">
        <v>532</v>
      </c>
      <c r="U47" s="80"/>
      <c r="V47" s="74"/>
    </row>
    <row r="48" spans="1:22">
      <c r="A48" s="72"/>
      <c r="B48" s="148" t="s">
        <v>351</v>
      </c>
      <c r="C48" s="148"/>
      <c r="D48" s="148"/>
      <c r="E48" s="148"/>
      <c r="F48" s="148"/>
      <c r="H48" s="148" t="s">
        <v>352</v>
      </c>
      <c r="I48" s="148"/>
      <c r="J48" s="148"/>
      <c r="K48" s="148"/>
      <c r="V48" s="74"/>
    </row>
    <row r="49" spans="1:22">
      <c r="A49" s="72"/>
      <c r="H49" s="149" t="s">
        <v>353</v>
      </c>
      <c r="I49" s="149"/>
      <c r="J49" s="149"/>
      <c r="K49" s="149"/>
      <c r="V49" s="74"/>
    </row>
    <row r="50" spans="1:22">
      <c r="A50" s="78"/>
      <c r="B50" s="75"/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75"/>
      <c r="V50" s="79"/>
    </row>
  </sheetData>
  <mergeCells count="38">
    <mergeCell ref="H49:K49"/>
    <mergeCell ref="B48:F48"/>
    <mergeCell ref="C44:E44"/>
    <mergeCell ref="B41:K41"/>
    <mergeCell ref="B40:K40"/>
    <mergeCell ref="B33:J33"/>
    <mergeCell ref="I34:J34"/>
    <mergeCell ref="H48:K48"/>
    <mergeCell ref="M44:U44"/>
    <mergeCell ref="M45:U45"/>
    <mergeCell ref="M46:U46"/>
    <mergeCell ref="M37:U37"/>
    <mergeCell ref="M38:U38"/>
    <mergeCell ref="M39:U39"/>
    <mergeCell ref="B36:K36"/>
    <mergeCell ref="M35:U35"/>
    <mergeCell ref="B37:K37"/>
    <mergeCell ref="M36:U36"/>
    <mergeCell ref="B28:K28"/>
    <mergeCell ref="B29:K29"/>
    <mergeCell ref="M30:U30"/>
    <mergeCell ref="M31:U31"/>
    <mergeCell ref="M32:U32"/>
    <mergeCell ref="B27:K27"/>
    <mergeCell ref="B5:K5"/>
    <mergeCell ref="B6:K6"/>
    <mergeCell ref="M6:U6"/>
    <mergeCell ref="B9:K9"/>
    <mergeCell ref="B18:K18"/>
    <mergeCell ref="B19:F19"/>
    <mergeCell ref="G19:H19"/>
    <mergeCell ref="I19:K19"/>
    <mergeCell ref="M19:U19"/>
    <mergeCell ref="M20:U20"/>
    <mergeCell ref="M23:U23"/>
    <mergeCell ref="M24:U24"/>
    <mergeCell ref="M25:U25"/>
    <mergeCell ref="B26:K26"/>
  </mergeCells>
  <pageMargins left="0.70866141732283472" right="0.70866141732283472" top="0.55118110236220474" bottom="0.55118110236220474" header="0.31496062992125984" footer="0.31496062992125984"/>
  <pageSetup paperSize="9" scale="64" fitToWidth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E0AC7-8251-412E-975D-D41BCDC03B4B}">
  <sheetPr codeName="Planilha18">
    <pageSetUpPr fitToPage="1"/>
  </sheetPr>
  <dimension ref="A1:V53"/>
  <sheetViews>
    <sheetView showGridLines="0" topLeftCell="A31" zoomScaleNormal="100" workbookViewId="0">
      <selection activeCell="D22" sqref="D22"/>
    </sheetView>
  </sheetViews>
  <sheetFormatPr defaultRowHeight="15"/>
  <cols>
    <col min="1" max="1" width="3.7109375" style="71" customWidth="1"/>
    <col min="2" max="2" width="8.140625" style="71" customWidth="1"/>
    <col min="3" max="3" width="6" style="71" customWidth="1"/>
    <col min="4" max="4" width="12.7109375" style="71" customWidth="1"/>
    <col min="5" max="5" width="6.7109375" style="71" customWidth="1"/>
    <col min="6" max="6" width="5.85546875" style="71" customWidth="1"/>
    <col min="7" max="7" width="7.28515625" style="71" customWidth="1"/>
    <col min="8" max="10" width="9.140625" style="71"/>
    <col min="11" max="11" width="13.85546875" style="71" customWidth="1"/>
    <col min="12" max="12" width="9.7109375" style="71" customWidth="1"/>
    <col min="13" max="20" width="9.140625" style="71"/>
    <col min="21" max="21" width="10" style="71" customWidth="1"/>
    <col min="22" max="22" width="3.7109375" style="71" customWidth="1"/>
    <col min="23" max="16384" width="9.140625" style="71"/>
  </cols>
  <sheetData>
    <row r="1" spans="1:22">
      <c r="A1" s="68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70"/>
    </row>
    <row r="2" spans="1:22" ht="27">
      <c r="A2" s="72"/>
      <c r="B2" s="73" t="s">
        <v>330</v>
      </c>
      <c r="M2" s="73" t="s">
        <v>358</v>
      </c>
      <c r="V2" s="74"/>
    </row>
    <row r="3" spans="1:22" ht="27">
      <c r="A3" s="72"/>
      <c r="B3" s="73" t="s">
        <v>407</v>
      </c>
      <c r="V3" s="74"/>
    </row>
    <row r="4" spans="1:22">
      <c r="A4" s="72"/>
      <c r="M4" s="71" t="s">
        <v>416</v>
      </c>
      <c r="V4" s="74"/>
    </row>
    <row r="5" spans="1:22" ht="15" customHeight="1">
      <c r="A5" s="72"/>
      <c r="B5" s="144" t="s">
        <v>498</v>
      </c>
      <c r="C5" s="144"/>
      <c r="D5" s="144"/>
      <c r="E5" s="144"/>
      <c r="F5" s="144"/>
      <c r="G5" s="144"/>
      <c r="H5" s="144"/>
      <c r="I5" s="144"/>
      <c r="J5" s="144"/>
      <c r="K5" s="144"/>
      <c r="V5" s="74"/>
    </row>
    <row r="6" spans="1:22" ht="15" customHeight="1">
      <c r="A6" s="72"/>
      <c r="B6" s="144" t="s">
        <v>537</v>
      </c>
      <c r="C6" s="144"/>
      <c r="D6" s="144"/>
      <c r="E6" s="144"/>
      <c r="F6" s="144"/>
      <c r="G6" s="144"/>
      <c r="H6" s="144"/>
      <c r="I6" s="144"/>
      <c r="J6" s="144"/>
      <c r="K6" s="144"/>
      <c r="M6" s="144" t="s">
        <v>544</v>
      </c>
      <c r="N6" s="144"/>
      <c r="O6" s="144"/>
      <c r="P6" s="144"/>
      <c r="Q6" s="144"/>
      <c r="R6" s="144"/>
      <c r="S6" s="144"/>
      <c r="T6" s="144"/>
      <c r="U6" s="144"/>
      <c r="V6" s="74"/>
    </row>
    <row r="7" spans="1:22">
      <c r="A7" s="72"/>
      <c r="B7" s="71" t="s">
        <v>538</v>
      </c>
      <c r="M7" s="71" t="s">
        <v>545</v>
      </c>
      <c r="V7" s="74"/>
    </row>
    <row r="8" spans="1:22">
      <c r="A8" s="72"/>
      <c r="V8" s="74"/>
    </row>
    <row r="9" spans="1:22" ht="15" customHeight="1">
      <c r="A9" s="72"/>
      <c r="B9" s="144" t="s">
        <v>334</v>
      </c>
      <c r="C9" s="144"/>
      <c r="D9" s="144"/>
      <c r="E9" s="144"/>
      <c r="F9" s="144"/>
      <c r="G9" s="144"/>
      <c r="H9" s="144"/>
      <c r="I9" s="144"/>
      <c r="J9" s="144"/>
      <c r="K9" s="144"/>
      <c r="M9" s="71" t="s">
        <v>361</v>
      </c>
      <c r="V9" s="74"/>
    </row>
    <row r="10" spans="1:22">
      <c r="A10" s="72"/>
      <c r="B10" s="71" t="s">
        <v>335</v>
      </c>
      <c r="M10" s="71" t="s">
        <v>362</v>
      </c>
      <c r="V10" s="74"/>
    </row>
    <row r="11" spans="1:22">
      <c r="A11" s="72"/>
      <c r="B11" s="71" t="s">
        <v>332</v>
      </c>
      <c r="E11" s="75" t="str">
        <f>Máscara!M13</f>
        <v>Euro Import - Londrina</v>
      </c>
      <c r="F11" s="75"/>
      <c r="G11" s="75"/>
      <c r="H11" s="75"/>
      <c r="I11" s="75"/>
      <c r="J11" s="75"/>
      <c r="K11" s="75"/>
      <c r="M11" s="71" t="s">
        <v>363</v>
      </c>
      <c r="V11" s="74"/>
    </row>
    <row r="12" spans="1:22" ht="15" customHeight="1">
      <c r="A12" s="72"/>
      <c r="B12" s="71" t="s">
        <v>333</v>
      </c>
      <c r="D12" s="75" t="str">
        <f>Máscara!O8</f>
        <v>08.964.646/0001-09</v>
      </c>
      <c r="E12" s="75"/>
      <c r="F12" s="75"/>
      <c r="G12" s="75"/>
      <c r="H12" s="75"/>
      <c r="I12" s="75"/>
      <c r="J12" s="75"/>
      <c r="K12" s="75"/>
      <c r="M12" s="80" t="s">
        <v>516</v>
      </c>
      <c r="N12" s="80"/>
      <c r="O12" s="80"/>
      <c r="P12" s="80"/>
      <c r="Q12" s="80"/>
      <c r="R12" s="80"/>
      <c r="S12" s="80"/>
      <c r="T12" s="80"/>
      <c r="U12" s="80"/>
      <c r="V12" s="74"/>
    </row>
    <row r="13" spans="1:22">
      <c r="A13" s="72"/>
      <c r="B13" s="71" t="s">
        <v>336</v>
      </c>
      <c r="M13" s="71" t="s">
        <v>517</v>
      </c>
      <c r="V13" s="74"/>
    </row>
    <row r="14" spans="1:22">
      <c r="A14" s="72"/>
      <c r="B14" s="71" t="s">
        <v>337</v>
      </c>
      <c r="M14" s="71" t="s">
        <v>419</v>
      </c>
      <c r="V14" s="74"/>
    </row>
    <row r="15" spans="1:22">
      <c r="A15" s="72"/>
      <c r="B15" s="76" t="s">
        <v>332</v>
      </c>
      <c r="E15" s="75" t="str">
        <f>Máscara!C16</f>
        <v>ELAINE SILVA</v>
      </c>
      <c r="F15" s="75"/>
      <c r="G15" s="75"/>
      <c r="H15" s="75"/>
      <c r="I15" s="75"/>
      <c r="J15" s="75"/>
      <c r="K15" s="75"/>
      <c r="M15" s="71" t="s">
        <v>420</v>
      </c>
      <c r="V15" s="74"/>
    </row>
    <row r="16" spans="1:22">
      <c r="A16" s="72"/>
      <c r="B16" s="71" t="s">
        <v>338</v>
      </c>
      <c r="E16" s="77" t="str">
        <f>Máscara!E16</f>
        <v>123.456.789-00</v>
      </c>
      <c r="F16" s="77"/>
      <c r="G16" s="77"/>
      <c r="H16" s="77"/>
      <c r="I16" s="77"/>
      <c r="J16" s="77"/>
      <c r="K16" s="77"/>
      <c r="M16" s="71" t="s">
        <v>421</v>
      </c>
      <c r="V16" s="74"/>
    </row>
    <row r="17" spans="1:22">
      <c r="A17" s="72"/>
      <c r="M17" s="71" t="s">
        <v>422</v>
      </c>
      <c r="V17" s="74"/>
    </row>
    <row r="18" spans="1:22" ht="15" customHeight="1">
      <c r="A18" s="72"/>
      <c r="B18" s="144" t="s">
        <v>500</v>
      </c>
      <c r="C18" s="144"/>
      <c r="D18" s="144"/>
      <c r="E18" s="144"/>
      <c r="F18" s="144"/>
      <c r="G18" s="144"/>
      <c r="H18" s="144"/>
      <c r="I18" s="144"/>
      <c r="J18" s="144"/>
      <c r="K18" s="144"/>
      <c r="V18" s="74"/>
    </row>
    <row r="19" spans="1:22" ht="15" customHeight="1">
      <c r="A19" s="72"/>
      <c r="B19" s="144" t="s">
        <v>501</v>
      </c>
      <c r="C19" s="144"/>
      <c r="D19" s="144"/>
      <c r="E19" s="144"/>
      <c r="F19" s="144"/>
      <c r="G19" s="147" cm="1">
        <f t="array" ref="G19">Valor_a_pagar[VALOR A PAGAR]</f>
        <v>11321.234528644141</v>
      </c>
      <c r="H19" s="147"/>
      <c r="I19" s="144" t="s">
        <v>556</v>
      </c>
      <c r="J19" s="144"/>
      <c r="K19" s="144"/>
      <c r="M19" s="71" t="s">
        <v>424</v>
      </c>
      <c r="V19" s="74"/>
    </row>
    <row r="20" spans="1:22" ht="15" customHeight="1">
      <c r="A20" s="72"/>
      <c r="B20" s="71" t="s">
        <v>539</v>
      </c>
      <c r="V20" s="74"/>
    </row>
    <row r="21" spans="1:22" ht="15" customHeight="1">
      <c r="A21" s="72"/>
      <c r="M21" s="71" t="s">
        <v>367</v>
      </c>
      <c r="V21" s="74"/>
    </row>
    <row r="22" spans="1:22">
      <c r="A22" s="72"/>
      <c r="B22" s="71" t="s">
        <v>340</v>
      </c>
      <c r="D22" s="75" t="str">
        <f>Máscara!I13</f>
        <v>SÉRIE 3</v>
      </c>
      <c r="E22" s="75"/>
      <c r="F22" s="75"/>
      <c r="G22" s="75"/>
      <c r="H22" s="75"/>
      <c r="I22" s="75"/>
      <c r="J22" s="75"/>
      <c r="K22" s="75"/>
      <c r="V22" s="74"/>
    </row>
    <row r="23" spans="1:22">
      <c r="A23" s="72"/>
      <c r="B23" s="71" t="s">
        <v>341</v>
      </c>
      <c r="D23" s="77" t="str">
        <f>Máscara!G13</f>
        <v>2021/2022</v>
      </c>
      <c r="E23" s="77"/>
      <c r="F23" s="77"/>
      <c r="G23" s="77"/>
      <c r="H23" s="77"/>
      <c r="I23" s="77"/>
      <c r="J23" s="77"/>
      <c r="K23" s="77"/>
      <c r="M23" s="144" t="s">
        <v>546</v>
      </c>
      <c r="N23" s="144"/>
      <c r="O23" s="144"/>
      <c r="P23" s="144"/>
      <c r="Q23" s="144"/>
      <c r="R23" s="144"/>
      <c r="S23" s="144"/>
      <c r="T23" s="144"/>
      <c r="U23" s="144"/>
      <c r="V23" s="74"/>
    </row>
    <row r="24" spans="1:22" ht="15" customHeight="1">
      <c r="A24" s="72"/>
      <c r="B24" s="71" t="s">
        <v>342</v>
      </c>
      <c r="C24" s="75" t="str">
        <f>Máscara!C13</f>
        <v>9IJHFT6RES4A98765</v>
      </c>
      <c r="D24" s="75"/>
      <c r="E24" s="75"/>
      <c r="F24" s="75"/>
      <c r="G24" s="75"/>
      <c r="H24" s="75"/>
      <c r="I24" s="75"/>
      <c r="J24" s="75"/>
      <c r="K24" s="75"/>
      <c r="M24" s="144" t="s">
        <v>519</v>
      </c>
      <c r="N24" s="144"/>
      <c r="O24" s="144"/>
      <c r="P24" s="144"/>
      <c r="Q24" s="144"/>
      <c r="R24" s="144"/>
      <c r="S24" s="144"/>
      <c r="T24" s="144"/>
      <c r="U24" s="144"/>
      <c r="V24" s="74"/>
    </row>
    <row r="25" spans="1:22" ht="15" customHeight="1">
      <c r="A25" s="72"/>
      <c r="M25" s="71" t="s">
        <v>520</v>
      </c>
      <c r="N25" s="80"/>
      <c r="O25" s="80"/>
      <c r="P25" s="80"/>
      <c r="Q25" s="80"/>
      <c r="R25" s="80"/>
      <c r="S25" s="80"/>
      <c r="T25" s="80"/>
      <c r="U25" s="80"/>
      <c r="V25" s="74"/>
    </row>
    <row r="26" spans="1:22" ht="15" customHeight="1">
      <c r="A26" s="72"/>
      <c r="B26" s="144" t="s">
        <v>502</v>
      </c>
      <c r="C26" s="144"/>
      <c r="D26" s="144"/>
      <c r="E26" s="144"/>
      <c r="F26" s="144"/>
      <c r="G26" s="144"/>
      <c r="H26" s="144"/>
      <c r="I26" s="144"/>
      <c r="J26" s="144"/>
      <c r="K26" s="144"/>
      <c r="V26" s="74"/>
    </row>
    <row r="27" spans="1:22" ht="15" customHeight="1">
      <c r="A27" s="72"/>
      <c r="B27" s="144" t="s">
        <v>503</v>
      </c>
      <c r="C27" s="144"/>
      <c r="D27" s="144"/>
      <c r="E27" s="144"/>
      <c r="F27" s="144"/>
      <c r="G27" s="144"/>
      <c r="H27" s="144"/>
      <c r="I27" s="144"/>
      <c r="J27" s="144"/>
      <c r="K27" s="144"/>
      <c r="M27" s="144" t="s">
        <v>533</v>
      </c>
      <c r="N27" s="144"/>
      <c r="O27" s="144"/>
      <c r="P27" s="144"/>
      <c r="Q27" s="144"/>
      <c r="R27" s="144"/>
      <c r="S27" s="144"/>
      <c r="T27" s="144"/>
      <c r="U27" s="144"/>
      <c r="V27" s="74"/>
    </row>
    <row r="28" spans="1:22" ht="15.75">
      <c r="A28" s="72"/>
      <c r="B28" s="144" t="s">
        <v>576</v>
      </c>
      <c r="C28" s="145"/>
      <c r="D28" s="145"/>
      <c r="E28" s="145"/>
      <c r="F28" s="145"/>
      <c r="G28" s="145"/>
      <c r="H28" s="145"/>
      <c r="I28" s="145"/>
      <c r="J28" s="145"/>
      <c r="K28" s="145"/>
      <c r="M28" s="144" t="s">
        <v>534</v>
      </c>
      <c r="N28" s="144"/>
      <c r="O28" s="144"/>
      <c r="P28" s="144"/>
      <c r="Q28" s="144"/>
      <c r="R28" s="144"/>
      <c r="S28" s="144"/>
      <c r="T28" s="144"/>
      <c r="U28" s="144"/>
      <c r="V28" s="74"/>
    </row>
    <row r="29" spans="1:22" ht="15.75">
      <c r="A29" s="72"/>
      <c r="B29" s="144" t="s">
        <v>541</v>
      </c>
      <c r="C29" s="145"/>
      <c r="D29" s="145"/>
      <c r="E29" s="145"/>
      <c r="F29" s="145"/>
      <c r="G29" s="145"/>
      <c r="H29" s="145"/>
      <c r="I29" s="145"/>
      <c r="J29" s="145"/>
      <c r="K29" s="145"/>
      <c r="M29" s="144" t="s">
        <v>521</v>
      </c>
      <c r="N29" s="145"/>
      <c r="O29" s="145"/>
      <c r="P29" s="145"/>
      <c r="Q29" s="145"/>
      <c r="R29" s="145"/>
      <c r="S29" s="145"/>
      <c r="T29" s="145"/>
      <c r="U29" s="145"/>
      <c r="V29" s="74"/>
    </row>
    <row r="30" spans="1:22">
      <c r="A30" s="72"/>
      <c r="B30" s="71" t="s">
        <v>542</v>
      </c>
      <c r="M30" s="71" t="s">
        <v>547</v>
      </c>
      <c r="V30" s="74"/>
    </row>
    <row r="31" spans="1:22">
      <c r="A31" s="72"/>
      <c r="V31" s="74"/>
    </row>
    <row r="32" spans="1:22" ht="15" customHeight="1">
      <c r="A32" s="72"/>
      <c r="B32" s="144" t="s">
        <v>413</v>
      </c>
      <c r="C32" s="145"/>
      <c r="D32" s="145"/>
      <c r="E32" s="145"/>
      <c r="F32" s="145"/>
      <c r="G32" s="146">
        <f>Máscara!M16</f>
        <v>46083</v>
      </c>
      <c r="H32" s="146"/>
      <c r="I32" s="144" t="s">
        <v>507</v>
      </c>
      <c r="J32" s="144"/>
      <c r="K32" s="144"/>
      <c r="M32" s="71" t="s">
        <v>427</v>
      </c>
      <c r="V32" s="74"/>
    </row>
    <row r="33" spans="1:22" ht="15" customHeight="1">
      <c r="A33" s="72"/>
      <c r="B33" s="144" t="s">
        <v>508</v>
      </c>
      <c r="C33" s="144"/>
      <c r="D33" s="144"/>
      <c r="E33" s="144"/>
      <c r="F33" s="150">
        <f>Máscara!M19</f>
        <v>80000</v>
      </c>
      <c r="G33" s="150"/>
      <c r="H33" s="71" t="s">
        <v>345</v>
      </c>
      <c r="V33" s="74"/>
    </row>
    <row r="34" spans="1:22" ht="15.75">
      <c r="A34" s="72"/>
      <c r="M34" s="144" t="s">
        <v>548</v>
      </c>
      <c r="N34" s="145"/>
      <c r="O34" s="145"/>
      <c r="P34" s="145"/>
      <c r="Q34" s="145"/>
      <c r="R34" s="145"/>
      <c r="S34" s="145"/>
      <c r="T34" s="145"/>
      <c r="U34" s="145"/>
      <c r="V34" s="74"/>
    </row>
    <row r="35" spans="1:22" ht="15" customHeight="1">
      <c r="A35" s="72"/>
      <c r="B35" s="144" t="s">
        <v>509</v>
      </c>
      <c r="C35" s="144"/>
      <c r="D35" s="144"/>
      <c r="E35" s="144"/>
      <c r="F35" s="144"/>
      <c r="G35" s="144"/>
      <c r="H35" s="144"/>
      <c r="I35" s="144"/>
      <c r="J35" s="144"/>
      <c r="K35" s="144"/>
      <c r="M35" s="144" t="s">
        <v>524</v>
      </c>
      <c r="N35" s="145"/>
      <c r="O35" s="145"/>
      <c r="P35" s="145"/>
      <c r="Q35" s="145"/>
      <c r="R35" s="145"/>
      <c r="S35" s="145"/>
      <c r="T35" s="145"/>
      <c r="U35" s="145"/>
      <c r="V35" s="74"/>
    </row>
    <row r="36" spans="1:22" ht="15" customHeight="1">
      <c r="A36" s="72"/>
      <c r="B36" s="144" t="s">
        <v>543</v>
      </c>
      <c r="C36" s="144"/>
      <c r="D36" s="144"/>
      <c r="E36" s="144"/>
      <c r="F36" s="144"/>
      <c r="G36" s="144"/>
      <c r="H36" s="144"/>
      <c r="I36" s="144"/>
      <c r="J36" s="144"/>
      <c r="K36" s="144"/>
      <c r="M36" s="144" t="s">
        <v>566</v>
      </c>
      <c r="N36" s="145"/>
      <c r="O36" s="145"/>
      <c r="P36" s="145"/>
      <c r="Q36" s="145"/>
      <c r="R36" s="145"/>
      <c r="S36" s="145"/>
      <c r="T36" s="145"/>
      <c r="U36" s="145"/>
      <c r="V36" s="74"/>
    </row>
    <row r="37" spans="1:22" ht="15" customHeight="1">
      <c r="A37" s="72"/>
      <c r="B37" s="71" t="s">
        <v>511</v>
      </c>
      <c r="M37" s="71" t="s">
        <v>567</v>
      </c>
      <c r="U37" s="80"/>
      <c r="V37" s="74"/>
    </row>
    <row r="38" spans="1:22" ht="15" customHeight="1">
      <c r="A38" s="72"/>
      <c r="V38" s="74"/>
    </row>
    <row r="39" spans="1:22" ht="15" customHeight="1">
      <c r="A39" s="72"/>
      <c r="B39" s="144" t="s">
        <v>512</v>
      </c>
      <c r="C39" s="144"/>
      <c r="D39" s="144"/>
      <c r="E39" s="144"/>
      <c r="F39" s="144"/>
      <c r="G39" s="144"/>
      <c r="H39" s="144"/>
      <c r="I39" s="144"/>
      <c r="J39" s="144"/>
      <c r="K39" s="144"/>
      <c r="M39" s="144" t="s">
        <v>549</v>
      </c>
      <c r="N39" s="145"/>
      <c r="O39" s="145"/>
      <c r="P39" s="145"/>
      <c r="Q39" s="145"/>
      <c r="R39" s="145"/>
      <c r="S39" s="145"/>
      <c r="T39" s="145"/>
      <c r="U39" s="145"/>
      <c r="V39" s="74"/>
    </row>
    <row r="40" spans="1:22" ht="15" customHeight="1">
      <c r="A40" s="72"/>
      <c r="B40" s="144" t="s">
        <v>513</v>
      </c>
      <c r="C40" s="144"/>
      <c r="D40" s="144"/>
      <c r="E40" s="144"/>
      <c r="F40" s="144"/>
      <c r="G40" s="144"/>
      <c r="H40" s="144"/>
      <c r="I40" s="144"/>
      <c r="J40" s="144"/>
      <c r="K40" s="144"/>
      <c r="M40" s="144" t="s">
        <v>526</v>
      </c>
      <c r="N40" s="145"/>
      <c r="O40" s="145"/>
      <c r="P40" s="145"/>
      <c r="Q40" s="145"/>
      <c r="R40" s="145"/>
      <c r="S40" s="145"/>
      <c r="T40" s="145"/>
      <c r="U40" s="145"/>
      <c r="V40" s="74"/>
    </row>
    <row r="41" spans="1:22" ht="15.75">
      <c r="A41" s="72"/>
      <c r="B41" s="71" t="s">
        <v>514</v>
      </c>
      <c r="M41" s="144" t="s">
        <v>569</v>
      </c>
      <c r="N41" s="145"/>
      <c r="O41" s="145"/>
      <c r="P41" s="145"/>
      <c r="Q41" s="145"/>
      <c r="R41" s="145"/>
      <c r="S41" s="145"/>
      <c r="T41" s="145"/>
      <c r="U41" s="145"/>
      <c r="V41" s="74"/>
    </row>
    <row r="42" spans="1:22" ht="15.75">
      <c r="A42" s="72"/>
      <c r="M42" s="144" t="s">
        <v>527</v>
      </c>
      <c r="N42" s="145"/>
      <c r="O42" s="145"/>
      <c r="P42" s="145"/>
      <c r="Q42" s="145"/>
      <c r="R42" s="145"/>
      <c r="S42" s="145"/>
      <c r="T42" s="145"/>
      <c r="U42" s="145"/>
      <c r="V42" s="74"/>
    </row>
    <row r="43" spans="1:22" ht="15.75">
      <c r="A43" s="72"/>
      <c r="B43" s="71" t="s">
        <v>350</v>
      </c>
      <c r="C43" s="146">
        <f>Máscara!C21</f>
        <v>44838</v>
      </c>
      <c r="D43" s="146"/>
      <c r="E43" s="146"/>
      <c r="M43" s="144" t="s">
        <v>528</v>
      </c>
      <c r="N43" s="145"/>
      <c r="O43" s="145"/>
      <c r="P43" s="145"/>
      <c r="Q43" s="145"/>
      <c r="R43" s="145"/>
      <c r="S43" s="145"/>
      <c r="T43" s="145"/>
      <c r="U43" s="145"/>
      <c r="V43" s="74"/>
    </row>
    <row r="44" spans="1:22">
      <c r="A44" s="72"/>
      <c r="M44" s="71" t="s">
        <v>550</v>
      </c>
      <c r="V44" s="74"/>
    </row>
    <row r="45" spans="1:22" ht="15" customHeight="1">
      <c r="A45" s="72"/>
      <c r="V45" s="74"/>
    </row>
    <row r="46" spans="1:22" ht="15" customHeight="1">
      <c r="A46" s="72"/>
      <c r="M46" s="71" t="s">
        <v>383</v>
      </c>
      <c r="V46" s="74"/>
    </row>
    <row r="47" spans="1:22" ht="15" customHeight="1">
      <c r="A47" s="72"/>
      <c r="B47" s="148" t="s">
        <v>351</v>
      </c>
      <c r="C47" s="148"/>
      <c r="D47" s="148"/>
      <c r="E47" s="148"/>
      <c r="F47" s="148"/>
      <c r="H47" s="148" t="s">
        <v>352</v>
      </c>
      <c r="I47" s="148"/>
      <c r="J47" s="148"/>
      <c r="K47" s="148"/>
      <c r="V47" s="74"/>
    </row>
    <row r="48" spans="1:22" ht="15.75">
      <c r="A48" s="72"/>
      <c r="H48" s="149" t="s">
        <v>353</v>
      </c>
      <c r="I48" s="149"/>
      <c r="J48" s="149"/>
      <c r="K48" s="149"/>
      <c r="M48" s="144" t="s">
        <v>551</v>
      </c>
      <c r="N48" s="145"/>
      <c r="O48" s="145"/>
      <c r="P48" s="145"/>
      <c r="Q48" s="145"/>
      <c r="R48" s="145"/>
      <c r="S48" s="145"/>
      <c r="T48" s="145"/>
      <c r="U48" s="145"/>
      <c r="V48" s="74"/>
    </row>
    <row r="49" spans="1:22" ht="15.75">
      <c r="M49" s="144" t="s">
        <v>536</v>
      </c>
      <c r="N49" s="145"/>
      <c r="O49" s="145"/>
      <c r="P49" s="145"/>
      <c r="Q49" s="145"/>
      <c r="R49" s="145"/>
      <c r="S49" s="145"/>
      <c r="T49" s="145"/>
      <c r="U49" s="145"/>
      <c r="V49" s="74"/>
    </row>
    <row r="50" spans="1:22" ht="15.75">
      <c r="M50" s="144" t="s">
        <v>552</v>
      </c>
      <c r="N50" s="145"/>
      <c r="O50" s="145"/>
      <c r="P50" s="145"/>
      <c r="Q50" s="145"/>
      <c r="R50" s="145"/>
      <c r="S50" s="145"/>
      <c r="T50" s="145"/>
      <c r="U50" s="145"/>
      <c r="V50" s="74"/>
    </row>
    <row r="51" spans="1:22">
      <c r="M51" s="71" t="s">
        <v>532</v>
      </c>
      <c r="U51" s="80"/>
      <c r="V51" s="74"/>
    </row>
    <row r="52" spans="1:22">
      <c r="A52" s="72"/>
      <c r="V52" s="74"/>
    </row>
    <row r="53" spans="1:22">
      <c r="A53" s="78"/>
      <c r="B53" s="75"/>
      <c r="C53" s="75"/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9"/>
    </row>
  </sheetData>
  <sheetProtection sheet="1" objects="1" scenarios="1"/>
  <mergeCells count="41">
    <mergeCell ref="M49:U49"/>
    <mergeCell ref="M50:U50"/>
    <mergeCell ref="B47:F47"/>
    <mergeCell ref="H47:K47"/>
    <mergeCell ref="H48:K48"/>
    <mergeCell ref="M43:U43"/>
    <mergeCell ref="B40:K40"/>
    <mergeCell ref="C43:E43"/>
    <mergeCell ref="M40:U40"/>
    <mergeCell ref="M48:U48"/>
    <mergeCell ref="M39:U39"/>
    <mergeCell ref="B36:K36"/>
    <mergeCell ref="M36:U36"/>
    <mergeCell ref="M41:U41"/>
    <mergeCell ref="M42:U42"/>
    <mergeCell ref="B39:K39"/>
    <mergeCell ref="M34:U34"/>
    <mergeCell ref="M35:U35"/>
    <mergeCell ref="B32:F32"/>
    <mergeCell ref="G32:H32"/>
    <mergeCell ref="I32:K32"/>
    <mergeCell ref="B33:E33"/>
    <mergeCell ref="F33:G33"/>
    <mergeCell ref="B35:K35"/>
    <mergeCell ref="M24:U24"/>
    <mergeCell ref="M27:U27"/>
    <mergeCell ref="M28:U28"/>
    <mergeCell ref="M29:U29"/>
    <mergeCell ref="B26:K26"/>
    <mergeCell ref="B27:K27"/>
    <mergeCell ref="B28:K28"/>
    <mergeCell ref="B29:K29"/>
    <mergeCell ref="B19:F19"/>
    <mergeCell ref="G19:H19"/>
    <mergeCell ref="I19:K19"/>
    <mergeCell ref="M23:U23"/>
    <mergeCell ref="B5:K5"/>
    <mergeCell ref="B6:K6"/>
    <mergeCell ref="M6:U6"/>
    <mergeCell ref="B9:K9"/>
    <mergeCell ref="B18:K18"/>
  </mergeCells>
  <pageMargins left="0.70866141732283472" right="0.70866141732283472" top="0.55118110236220474" bottom="0.55118110236220474" header="0.31496062992125984" footer="0.31496062992125984"/>
  <pageSetup paperSize="9" scale="64" fitToWidth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804A-DE2B-4575-BF20-FAEB7FB36568}">
  <sheetPr codeName="Planilha15">
    <pageSetUpPr fitToPage="1"/>
  </sheetPr>
  <dimension ref="A1:V48"/>
  <sheetViews>
    <sheetView showGridLines="0" workbookViewId="0">
      <selection activeCell="K1" sqref="K1"/>
    </sheetView>
  </sheetViews>
  <sheetFormatPr defaultRowHeight="15"/>
  <cols>
    <col min="1" max="1" width="3.7109375" style="30" customWidth="1"/>
    <col min="2" max="2" width="8.140625" style="30" customWidth="1"/>
    <col min="3" max="3" width="3.42578125" style="30" customWidth="1"/>
    <col min="4" max="4" width="10.7109375" style="30" customWidth="1"/>
    <col min="5" max="5" width="6.7109375" style="30" customWidth="1"/>
    <col min="6" max="6" width="9.140625" style="30"/>
    <col min="7" max="7" width="7.28515625" style="30" customWidth="1"/>
    <col min="8" max="10" width="9.140625" style="30"/>
    <col min="11" max="11" width="11.5703125" style="30" customWidth="1"/>
    <col min="12" max="12" width="8.28515625" style="30" customWidth="1"/>
    <col min="13" max="20" width="9.140625" style="30"/>
    <col min="21" max="21" width="10.28515625" style="30" customWidth="1"/>
    <col min="22" max="22" width="3.7109375" style="30" customWidth="1"/>
    <col min="23" max="16384" width="9.140625" style="30"/>
  </cols>
  <sheetData>
    <row r="1" spans="1:22">
      <c r="A1" s="44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45"/>
    </row>
    <row r="2" spans="1:22" ht="27">
      <c r="A2" s="46"/>
      <c r="B2" s="47" t="s">
        <v>330</v>
      </c>
      <c r="M2" s="47" t="s">
        <v>358</v>
      </c>
      <c r="V2" s="48"/>
    </row>
    <row r="3" spans="1:22" ht="27">
      <c r="A3" s="46"/>
      <c r="B3" s="47" t="s">
        <v>407</v>
      </c>
      <c r="V3" s="48"/>
    </row>
    <row r="4" spans="1:22">
      <c r="A4" s="46"/>
      <c r="M4" s="30" t="s">
        <v>416</v>
      </c>
      <c r="V4" s="48"/>
    </row>
    <row r="5" spans="1:22">
      <c r="A5" s="46"/>
      <c r="B5" s="151" t="s">
        <v>354</v>
      </c>
      <c r="C5" s="151"/>
      <c r="D5" s="151"/>
      <c r="E5" s="151"/>
      <c r="F5" s="151"/>
      <c r="G5" s="151"/>
      <c r="H5" s="151"/>
      <c r="I5" s="151"/>
      <c r="J5" s="151"/>
      <c r="K5" s="151"/>
      <c r="V5" s="48"/>
    </row>
    <row r="6" spans="1:22">
      <c r="A6" s="46"/>
      <c r="B6" s="151" t="s">
        <v>408</v>
      </c>
      <c r="C6" s="151"/>
      <c r="D6" s="151"/>
      <c r="E6" s="151"/>
      <c r="F6" s="151"/>
      <c r="G6" s="151"/>
      <c r="H6" s="151"/>
      <c r="I6" s="151"/>
      <c r="J6" s="151"/>
      <c r="K6" s="151"/>
      <c r="M6" s="151" t="s">
        <v>418</v>
      </c>
      <c r="N6" s="151"/>
      <c r="O6" s="151"/>
      <c r="P6" s="151"/>
      <c r="Q6" s="151"/>
      <c r="R6" s="151"/>
      <c r="S6" s="151"/>
      <c r="T6" s="151"/>
      <c r="U6" s="151"/>
      <c r="V6" s="48"/>
    </row>
    <row r="7" spans="1:22">
      <c r="A7" s="46"/>
      <c r="B7" s="30" t="s">
        <v>355</v>
      </c>
      <c r="M7" s="30" t="s">
        <v>359</v>
      </c>
      <c r="V7" s="48"/>
    </row>
    <row r="8" spans="1:22">
      <c r="A8" s="46"/>
      <c r="V8" s="48"/>
    </row>
    <row r="9" spans="1:22">
      <c r="A9" s="46"/>
      <c r="B9" s="152" t="s">
        <v>334</v>
      </c>
      <c r="C9" s="152"/>
      <c r="D9" s="152"/>
      <c r="E9" s="152"/>
      <c r="F9" s="152"/>
      <c r="G9" s="152"/>
      <c r="H9" s="152"/>
      <c r="I9" s="152"/>
      <c r="J9" s="152"/>
      <c r="K9" s="152"/>
      <c r="M9" s="30" t="s">
        <v>361</v>
      </c>
      <c r="V9" s="48"/>
    </row>
    <row r="10" spans="1:22">
      <c r="A10" s="46"/>
      <c r="B10" s="30" t="s">
        <v>335</v>
      </c>
      <c r="M10" s="30" t="s">
        <v>362</v>
      </c>
      <c r="V10" s="48"/>
    </row>
    <row r="11" spans="1:22">
      <c r="A11" s="46"/>
      <c r="B11" s="30" t="s">
        <v>332</v>
      </c>
      <c r="E11" s="33" t="str">
        <f>Máscara!M13</f>
        <v>Euro Import - Londrina</v>
      </c>
      <c r="F11" s="33"/>
      <c r="G11" s="33"/>
      <c r="H11" s="33"/>
      <c r="I11" s="33"/>
      <c r="J11" s="33"/>
      <c r="K11" s="33"/>
      <c r="M11" s="30" t="s">
        <v>363</v>
      </c>
      <c r="V11" s="48"/>
    </row>
    <row r="12" spans="1:22">
      <c r="A12" s="46"/>
      <c r="B12" s="30" t="s">
        <v>333</v>
      </c>
      <c r="D12" s="33" t="str">
        <f>Máscara!O8</f>
        <v>08.964.646/0001-09</v>
      </c>
      <c r="E12" s="33"/>
      <c r="F12" s="33"/>
      <c r="G12" s="33"/>
      <c r="H12" s="33"/>
      <c r="I12" s="33"/>
      <c r="J12" s="33"/>
      <c r="K12" s="33"/>
      <c r="M12" s="151" t="s">
        <v>364</v>
      </c>
      <c r="N12" s="151"/>
      <c r="O12" s="151"/>
      <c r="P12" s="151"/>
      <c r="Q12" s="151"/>
      <c r="R12" s="151"/>
      <c r="S12" s="151"/>
      <c r="T12" s="151"/>
      <c r="U12" s="151"/>
      <c r="V12" s="48"/>
    </row>
    <row r="13" spans="1:22">
      <c r="A13" s="46"/>
      <c r="B13" s="30" t="s">
        <v>336</v>
      </c>
      <c r="M13" s="30" t="s">
        <v>365</v>
      </c>
      <c r="V13" s="48"/>
    </row>
    <row r="14" spans="1:22">
      <c r="A14" s="46"/>
      <c r="B14" s="30" t="s">
        <v>337</v>
      </c>
      <c r="M14" s="30" t="s">
        <v>419</v>
      </c>
      <c r="V14" s="48"/>
    </row>
    <row r="15" spans="1:22">
      <c r="A15" s="46"/>
      <c r="B15" s="49" t="s">
        <v>332</v>
      </c>
      <c r="E15" s="33" t="str">
        <f>Máscara!C16</f>
        <v>ELAINE SILVA</v>
      </c>
      <c r="F15" s="33"/>
      <c r="G15" s="33"/>
      <c r="H15" s="33"/>
      <c r="I15" s="33"/>
      <c r="J15" s="33"/>
      <c r="K15" s="33"/>
      <c r="M15" s="30" t="s">
        <v>420</v>
      </c>
      <c r="V15" s="48"/>
    </row>
    <row r="16" spans="1:22">
      <c r="A16" s="46"/>
      <c r="B16" s="30" t="s">
        <v>338</v>
      </c>
      <c r="E16" s="34" t="str">
        <f>Máscara!E16</f>
        <v>123.456.789-00</v>
      </c>
      <c r="F16" s="34"/>
      <c r="G16" s="34"/>
      <c r="H16" s="34"/>
      <c r="I16" s="34"/>
      <c r="J16" s="34"/>
      <c r="K16" s="34"/>
      <c r="M16" s="30" t="s">
        <v>421</v>
      </c>
      <c r="V16" s="48"/>
    </row>
    <row r="17" spans="1:22">
      <c r="A17" s="46"/>
      <c r="M17" s="30" t="s">
        <v>422</v>
      </c>
      <c r="V17" s="48"/>
    </row>
    <row r="18" spans="1:22">
      <c r="A18" s="46"/>
      <c r="B18" s="151" t="s">
        <v>339</v>
      </c>
      <c r="C18" s="151"/>
      <c r="D18" s="151"/>
      <c r="E18" s="151"/>
      <c r="F18" s="151"/>
      <c r="G18" s="151"/>
      <c r="H18" s="151"/>
      <c r="I18" s="151"/>
      <c r="J18" s="151"/>
      <c r="K18" s="151"/>
      <c r="V18" s="48"/>
    </row>
    <row r="19" spans="1:22">
      <c r="A19" s="46"/>
      <c r="B19" s="151" t="s">
        <v>389</v>
      </c>
      <c r="C19" s="151"/>
      <c r="D19" s="151"/>
      <c r="E19" s="153" cm="1">
        <f t="array" ref="E19">Valor_a_pagar[VALOR A PAGAR]</f>
        <v>11321.234528644141</v>
      </c>
      <c r="F19" s="153"/>
      <c r="G19" s="151" t="s">
        <v>409</v>
      </c>
      <c r="H19" s="151"/>
      <c r="I19" s="151"/>
      <c r="J19" s="151"/>
      <c r="K19" s="151"/>
      <c r="M19" s="30" t="s">
        <v>424</v>
      </c>
      <c r="V19" s="48"/>
    </row>
    <row r="20" spans="1:22">
      <c r="A20" s="46"/>
      <c r="B20" s="30" t="s">
        <v>410</v>
      </c>
      <c r="V20" s="48"/>
    </row>
    <row r="21" spans="1:22">
      <c r="A21" s="46"/>
      <c r="M21" s="30" t="s">
        <v>367</v>
      </c>
      <c r="V21" s="48"/>
    </row>
    <row r="22" spans="1:22">
      <c r="A22" s="46"/>
      <c r="B22" s="30" t="s">
        <v>340</v>
      </c>
      <c r="C22" s="33" t="str">
        <f>Máscara!I13</f>
        <v>SÉRIE 3</v>
      </c>
      <c r="D22" s="33"/>
      <c r="E22" s="33"/>
      <c r="F22" s="33"/>
      <c r="G22" s="33"/>
      <c r="H22" s="33"/>
      <c r="I22" s="33"/>
      <c r="J22" s="33"/>
      <c r="K22" s="33"/>
      <c r="V22" s="48"/>
    </row>
    <row r="23" spans="1:22">
      <c r="A23" s="46"/>
      <c r="B23" s="30" t="s">
        <v>341</v>
      </c>
      <c r="D23" s="34" t="str">
        <f>Máscara!G13</f>
        <v>2021/2022</v>
      </c>
      <c r="E23" s="34"/>
      <c r="F23" s="34"/>
      <c r="G23" s="34"/>
      <c r="H23" s="34"/>
      <c r="I23" s="34"/>
      <c r="J23" s="34"/>
      <c r="K23" s="34"/>
      <c r="M23" s="151" t="s">
        <v>425</v>
      </c>
      <c r="N23" s="151"/>
      <c r="O23" s="151"/>
      <c r="P23" s="151"/>
      <c r="Q23" s="151"/>
      <c r="R23" s="151"/>
      <c r="S23" s="151"/>
      <c r="T23" s="151"/>
      <c r="U23" s="151"/>
      <c r="V23" s="48"/>
    </row>
    <row r="24" spans="1:22">
      <c r="A24" s="46"/>
      <c r="B24" s="30" t="s">
        <v>342</v>
      </c>
      <c r="C24" s="33" t="str">
        <f>Máscara!C13</f>
        <v>9IJHFT6RES4A98765</v>
      </c>
      <c r="D24" s="33"/>
      <c r="E24" s="33"/>
      <c r="F24" s="33"/>
      <c r="G24" s="33"/>
      <c r="H24" s="33"/>
      <c r="I24" s="33"/>
      <c r="J24" s="33"/>
      <c r="K24" s="33"/>
      <c r="M24" s="151" t="s">
        <v>369</v>
      </c>
      <c r="N24" s="151"/>
      <c r="O24" s="151"/>
      <c r="P24" s="151"/>
      <c r="Q24" s="151"/>
      <c r="R24" s="151"/>
      <c r="S24" s="151"/>
      <c r="T24" s="151"/>
      <c r="U24" s="151"/>
      <c r="V24" s="48"/>
    </row>
    <row r="25" spans="1:22">
      <c r="A25" s="46"/>
      <c r="M25" s="30" t="s">
        <v>370</v>
      </c>
      <c r="V25" s="48"/>
    </row>
    <row r="26" spans="1:22">
      <c r="A26" s="46"/>
      <c r="B26" s="151" t="s">
        <v>343</v>
      </c>
      <c r="C26" s="151"/>
      <c r="D26" s="151"/>
      <c r="E26" s="151"/>
      <c r="F26" s="151"/>
      <c r="G26" s="151"/>
      <c r="H26" s="151"/>
      <c r="I26" s="151"/>
      <c r="J26" s="151"/>
      <c r="K26" s="151"/>
      <c r="V26" s="48"/>
    </row>
    <row r="27" spans="1:22">
      <c r="A27" s="46"/>
      <c r="B27" s="151" t="s">
        <v>344</v>
      </c>
      <c r="C27" s="151"/>
      <c r="D27" s="151"/>
      <c r="E27" s="151"/>
      <c r="F27" s="151"/>
      <c r="G27" s="151"/>
      <c r="H27" s="151"/>
      <c r="I27" s="151"/>
      <c r="J27" s="151"/>
      <c r="K27" s="151"/>
      <c r="M27" s="151" t="s">
        <v>371</v>
      </c>
      <c r="N27" s="151"/>
      <c r="O27" s="151"/>
      <c r="P27" s="151"/>
      <c r="Q27" s="151"/>
      <c r="R27" s="151"/>
      <c r="S27" s="151"/>
      <c r="T27" s="151"/>
      <c r="U27" s="151"/>
      <c r="V27" s="48"/>
    </row>
    <row r="28" spans="1:22">
      <c r="A28" s="46"/>
      <c r="B28" s="151" t="s">
        <v>411</v>
      </c>
      <c r="C28" s="151"/>
      <c r="D28" s="151"/>
      <c r="E28" s="151"/>
      <c r="F28" s="151"/>
      <c r="G28" s="151"/>
      <c r="H28" s="151"/>
      <c r="I28" s="151"/>
      <c r="J28" s="151"/>
      <c r="K28" s="151"/>
      <c r="M28" s="151" t="s">
        <v>372</v>
      </c>
      <c r="N28" s="151"/>
      <c r="O28" s="151"/>
      <c r="P28" s="151"/>
      <c r="Q28" s="151"/>
      <c r="R28" s="151"/>
      <c r="S28" s="151"/>
      <c r="T28" s="151"/>
      <c r="U28" s="151"/>
      <c r="V28" s="48"/>
    </row>
    <row r="29" spans="1:22">
      <c r="A29" s="46"/>
      <c r="B29" s="30" t="s">
        <v>412</v>
      </c>
      <c r="M29" s="30" t="s">
        <v>426</v>
      </c>
      <c r="V29" s="48"/>
    </row>
    <row r="30" spans="1:22">
      <c r="A30" s="46"/>
      <c r="V30" s="48"/>
    </row>
    <row r="31" spans="1:22">
      <c r="A31" s="46"/>
      <c r="B31" s="30" t="s">
        <v>413</v>
      </c>
      <c r="F31" s="154">
        <f>Máscara!M16</f>
        <v>46083</v>
      </c>
      <c r="G31" s="154"/>
      <c r="H31" s="151" t="s">
        <v>360</v>
      </c>
      <c r="I31" s="151"/>
      <c r="J31" s="151"/>
      <c r="K31" s="151"/>
      <c r="M31" s="30" t="s">
        <v>427</v>
      </c>
      <c r="V31" s="48"/>
    </row>
    <row r="32" spans="1:22">
      <c r="A32" s="46"/>
      <c r="B32" s="30" t="s">
        <v>357</v>
      </c>
      <c r="D32" s="155">
        <f>Máscara!M19</f>
        <v>80000</v>
      </c>
      <c r="E32" s="156"/>
      <c r="F32" s="30" t="s">
        <v>345</v>
      </c>
      <c r="V32" s="48"/>
    </row>
    <row r="33" spans="1:22">
      <c r="A33" s="46"/>
      <c r="M33" s="151" t="s">
        <v>428</v>
      </c>
      <c r="N33" s="151"/>
      <c r="O33" s="151"/>
      <c r="P33" s="151"/>
      <c r="Q33" s="151"/>
      <c r="R33" s="151"/>
      <c r="S33" s="151"/>
      <c r="T33" s="151"/>
      <c r="U33" s="151"/>
      <c r="V33" s="48"/>
    </row>
    <row r="34" spans="1:22">
      <c r="A34" s="46"/>
      <c r="B34" s="151" t="s">
        <v>346</v>
      </c>
      <c r="C34" s="151"/>
      <c r="D34" s="151"/>
      <c r="E34" s="151"/>
      <c r="F34" s="151"/>
      <c r="G34" s="151"/>
      <c r="H34" s="151"/>
      <c r="I34" s="151"/>
      <c r="J34" s="151"/>
      <c r="K34" s="151"/>
      <c r="M34" s="151" t="s">
        <v>376</v>
      </c>
      <c r="N34" s="151"/>
      <c r="O34" s="151"/>
      <c r="P34" s="151"/>
      <c r="Q34" s="151"/>
      <c r="R34" s="151"/>
      <c r="S34" s="151"/>
      <c r="T34" s="151"/>
      <c r="U34" s="151"/>
      <c r="V34" s="48"/>
    </row>
    <row r="35" spans="1:22">
      <c r="A35" s="46"/>
      <c r="B35" s="151" t="s">
        <v>414</v>
      </c>
      <c r="C35" s="151"/>
      <c r="D35" s="151"/>
      <c r="E35" s="151"/>
      <c r="F35" s="151"/>
      <c r="G35" s="151"/>
      <c r="H35" s="151"/>
      <c r="I35" s="151"/>
      <c r="J35" s="151"/>
      <c r="K35" s="151"/>
      <c r="M35" s="30" t="s">
        <v>377</v>
      </c>
      <c r="V35" s="48"/>
    </row>
    <row r="36" spans="1:22">
      <c r="A36" s="46"/>
      <c r="B36" s="30" t="s">
        <v>415</v>
      </c>
      <c r="V36" s="48"/>
    </row>
    <row r="37" spans="1:22">
      <c r="A37" s="46"/>
      <c r="M37" s="151" t="s">
        <v>429</v>
      </c>
      <c r="N37" s="151"/>
      <c r="O37" s="151"/>
      <c r="P37" s="151"/>
      <c r="Q37" s="151"/>
      <c r="R37" s="151"/>
      <c r="S37" s="151"/>
      <c r="T37" s="151"/>
      <c r="U37" s="151"/>
      <c r="V37" s="48"/>
    </row>
    <row r="38" spans="1:22">
      <c r="A38" s="46"/>
      <c r="B38" s="151" t="s">
        <v>347</v>
      </c>
      <c r="C38" s="151"/>
      <c r="D38" s="151"/>
      <c r="E38" s="151"/>
      <c r="F38" s="151"/>
      <c r="G38" s="151"/>
      <c r="H38" s="151"/>
      <c r="I38" s="151"/>
      <c r="J38" s="151"/>
      <c r="K38" s="151"/>
      <c r="M38" s="151" t="s">
        <v>379</v>
      </c>
      <c r="N38" s="151"/>
      <c r="O38" s="151"/>
      <c r="P38" s="151"/>
      <c r="Q38" s="151"/>
      <c r="R38" s="151"/>
      <c r="S38" s="151"/>
      <c r="T38" s="151"/>
      <c r="U38" s="151"/>
      <c r="V38" s="48"/>
    </row>
    <row r="39" spans="1:22">
      <c r="A39" s="46"/>
      <c r="B39" s="151" t="s">
        <v>348</v>
      </c>
      <c r="C39" s="151"/>
      <c r="D39" s="151"/>
      <c r="E39" s="151"/>
      <c r="F39" s="151"/>
      <c r="G39" s="151"/>
      <c r="H39" s="151"/>
      <c r="I39" s="151"/>
      <c r="J39" s="151"/>
      <c r="K39" s="151"/>
      <c r="M39" s="151" t="s">
        <v>380</v>
      </c>
      <c r="N39" s="151"/>
      <c r="O39" s="151"/>
      <c r="P39" s="151"/>
      <c r="Q39" s="151"/>
      <c r="R39" s="151"/>
      <c r="S39" s="151"/>
      <c r="T39" s="151"/>
      <c r="U39" s="151"/>
      <c r="V39" s="48"/>
    </row>
    <row r="40" spans="1:22">
      <c r="A40" s="46"/>
      <c r="B40" s="30" t="s">
        <v>349</v>
      </c>
      <c r="M40" s="151" t="s">
        <v>381</v>
      </c>
      <c r="N40" s="151"/>
      <c r="O40" s="151"/>
      <c r="P40" s="151"/>
      <c r="Q40" s="151"/>
      <c r="R40" s="151"/>
      <c r="S40" s="151"/>
      <c r="T40" s="151"/>
      <c r="U40" s="151"/>
      <c r="V40" s="48"/>
    </row>
    <row r="41" spans="1:22">
      <c r="A41" s="46"/>
      <c r="M41" s="30" t="s">
        <v>430</v>
      </c>
      <c r="V41" s="48"/>
    </row>
    <row r="42" spans="1:22">
      <c r="A42" s="46"/>
      <c r="B42" s="30" t="s">
        <v>350</v>
      </c>
      <c r="C42" s="154">
        <f>Máscara!C21</f>
        <v>44838</v>
      </c>
      <c r="D42" s="154"/>
      <c r="E42" s="154"/>
      <c r="V42" s="48"/>
    </row>
    <row r="43" spans="1:22">
      <c r="A43" s="46"/>
      <c r="M43" s="30" t="s">
        <v>383</v>
      </c>
      <c r="V43" s="48"/>
    </row>
    <row r="44" spans="1:22">
      <c r="A44" s="46"/>
      <c r="V44" s="48"/>
    </row>
    <row r="45" spans="1:22">
      <c r="A45" s="46"/>
      <c r="M45" s="151" t="s">
        <v>431</v>
      </c>
      <c r="N45" s="151"/>
      <c r="O45" s="151"/>
      <c r="P45" s="151"/>
      <c r="Q45" s="151"/>
      <c r="R45" s="151"/>
      <c r="S45" s="151"/>
      <c r="T45" s="151"/>
      <c r="U45" s="151"/>
      <c r="V45" s="48"/>
    </row>
    <row r="46" spans="1:22">
      <c r="A46" s="46"/>
      <c r="B46" s="31" t="s">
        <v>351</v>
      </c>
      <c r="C46" s="31"/>
      <c r="D46" s="31"/>
      <c r="E46" s="31"/>
      <c r="F46" s="31"/>
      <c r="H46" s="32" t="s">
        <v>352</v>
      </c>
      <c r="I46" s="31"/>
      <c r="J46" s="31"/>
      <c r="K46" s="31"/>
      <c r="M46" s="151" t="s">
        <v>432</v>
      </c>
      <c r="N46" s="151"/>
      <c r="O46" s="151"/>
      <c r="P46" s="151"/>
      <c r="Q46" s="151"/>
      <c r="R46" s="151"/>
      <c r="S46" s="151"/>
      <c r="T46" s="151"/>
      <c r="U46" s="151"/>
      <c r="V46" s="48"/>
    </row>
    <row r="47" spans="1:22">
      <c r="A47" s="46"/>
      <c r="H47" s="50" t="s">
        <v>353</v>
      </c>
      <c r="M47" s="151" t="s">
        <v>423</v>
      </c>
      <c r="N47" s="151"/>
      <c r="O47" s="151"/>
      <c r="P47" s="151"/>
      <c r="Q47" s="151"/>
      <c r="R47" s="151"/>
      <c r="S47" s="151"/>
      <c r="T47" s="151"/>
      <c r="U47" s="151"/>
      <c r="V47" s="48"/>
    </row>
    <row r="48" spans="1:22">
      <c r="A48" s="51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52"/>
    </row>
  </sheetData>
  <sheetProtection sheet="1" objects="1" scenarios="1"/>
  <mergeCells count="33">
    <mergeCell ref="M45:U45"/>
    <mergeCell ref="M46:U46"/>
    <mergeCell ref="M47:U47"/>
    <mergeCell ref="B38:K38"/>
    <mergeCell ref="M38:U38"/>
    <mergeCell ref="B39:K39"/>
    <mergeCell ref="M39:U39"/>
    <mergeCell ref="M40:U40"/>
    <mergeCell ref="C42:E42"/>
    <mergeCell ref="M37:U37"/>
    <mergeCell ref="B27:K27"/>
    <mergeCell ref="M27:U27"/>
    <mergeCell ref="B28:K28"/>
    <mergeCell ref="M28:U28"/>
    <mergeCell ref="F31:G31"/>
    <mergeCell ref="H31:K31"/>
    <mergeCell ref="D32:E32"/>
    <mergeCell ref="M33:U33"/>
    <mergeCell ref="B34:K34"/>
    <mergeCell ref="M34:U34"/>
    <mergeCell ref="B35:K35"/>
    <mergeCell ref="B26:K26"/>
    <mergeCell ref="B5:K5"/>
    <mergeCell ref="B6:K6"/>
    <mergeCell ref="M6:U6"/>
    <mergeCell ref="B9:K9"/>
    <mergeCell ref="M12:U12"/>
    <mergeCell ref="B18:K18"/>
    <mergeCell ref="B19:D19"/>
    <mergeCell ref="E19:F19"/>
    <mergeCell ref="G19:K19"/>
    <mergeCell ref="M23:U23"/>
    <mergeCell ref="M24:U24"/>
  </mergeCells>
  <pageMargins left="0.70866141732283505" right="0.70866141732283505" top="0.55118110236220497" bottom="0.55118110236220497" header="0.31496062992126" footer="0.31496062992126"/>
  <pageSetup paperSize="9" scale="71" fitToWidth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95DAC-EEE8-4FCF-A52D-5D0AB2E7FF83}">
  <sheetPr codeName="Planilha20">
    <tabColor rgb="FFFF0000"/>
    <pageSetUpPr fitToPage="1"/>
  </sheetPr>
  <dimension ref="A1:V53"/>
  <sheetViews>
    <sheetView showGridLines="0" topLeftCell="A34" zoomScaleNormal="100" workbookViewId="0">
      <selection activeCell="B29" sqref="B29:K29"/>
    </sheetView>
  </sheetViews>
  <sheetFormatPr defaultRowHeight="15"/>
  <cols>
    <col min="1" max="1" width="3.7109375" style="71" customWidth="1"/>
    <col min="2" max="2" width="8.140625" style="71" customWidth="1"/>
    <col min="3" max="3" width="6" style="71" customWidth="1"/>
    <col min="4" max="4" width="12.7109375" style="71" customWidth="1"/>
    <col min="5" max="5" width="6.7109375" style="71" customWidth="1"/>
    <col min="6" max="6" width="5.85546875" style="71" customWidth="1"/>
    <col min="7" max="7" width="7.28515625" style="71" customWidth="1"/>
    <col min="8" max="10" width="9.140625" style="71"/>
    <col min="11" max="11" width="13.85546875" style="71" customWidth="1"/>
    <col min="12" max="12" width="9.7109375" style="71" customWidth="1"/>
    <col min="13" max="20" width="9.140625" style="71"/>
    <col min="21" max="21" width="10" style="71" customWidth="1"/>
    <col min="22" max="22" width="3.7109375" style="71" customWidth="1"/>
    <col min="23" max="16384" width="9.140625" style="71"/>
  </cols>
  <sheetData>
    <row r="1" spans="1:22">
      <c r="A1" s="68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70"/>
    </row>
    <row r="2" spans="1:22" ht="27">
      <c r="A2" s="72"/>
      <c r="B2" s="73" t="s">
        <v>330</v>
      </c>
      <c r="M2" s="73" t="s">
        <v>358</v>
      </c>
      <c r="V2" s="74"/>
    </row>
    <row r="3" spans="1:22" ht="27">
      <c r="A3" s="72"/>
      <c r="B3" s="73" t="s">
        <v>407</v>
      </c>
      <c r="V3" s="74"/>
    </row>
    <row r="4" spans="1:22">
      <c r="A4" s="72"/>
      <c r="M4" s="71" t="s">
        <v>416</v>
      </c>
      <c r="V4" s="74"/>
    </row>
    <row r="5" spans="1:22" ht="15" customHeight="1">
      <c r="A5" s="72"/>
      <c r="B5" s="144" t="s">
        <v>498</v>
      </c>
      <c r="C5" s="144"/>
      <c r="D5" s="144"/>
      <c r="E5" s="144"/>
      <c r="F5" s="144"/>
      <c r="G5" s="144"/>
      <c r="H5" s="144"/>
      <c r="I5" s="144"/>
      <c r="J5" s="144"/>
      <c r="K5" s="144"/>
      <c r="V5" s="74"/>
    </row>
    <row r="6" spans="1:22" ht="15" customHeight="1">
      <c r="A6" s="72"/>
      <c r="B6" s="144" t="s">
        <v>537</v>
      </c>
      <c r="C6" s="144"/>
      <c r="D6" s="144"/>
      <c r="E6" s="144"/>
      <c r="F6" s="144"/>
      <c r="G6" s="144"/>
      <c r="H6" s="144"/>
      <c r="I6" s="144"/>
      <c r="J6" s="144"/>
      <c r="K6" s="144"/>
      <c r="M6" s="144" t="s">
        <v>544</v>
      </c>
      <c r="N6" s="144"/>
      <c r="O6" s="144"/>
      <c r="P6" s="144"/>
      <c r="Q6" s="144"/>
      <c r="R6" s="144"/>
      <c r="S6" s="144"/>
      <c r="T6" s="144"/>
      <c r="U6" s="144"/>
      <c r="V6" s="74"/>
    </row>
    <row r="7" spans="1:22">
      <c r="A7" s="72"/>
      <c r="B7" s="71" t="s">
        <v>538</v>
      </c>
      <c r="M7" s="71" t="s">
        <v>545</v>
      </c>
      <c r="V7" s="74"/>
    </row>
    <row r="8" spans="1:22">
      <c r="A8" s="72"/>
      <c r="V8" s="74"/>
    </row>
    <row r="9" spans="1:22" ht="15" customHeight="1">
      <c r="A9" s="72"/>
      <c r="B9" s="144" t="s">
        <v>334</v>
      </c>
      <c r="C9" s="144"/>
      <c r="D9" s="144"/>
      <c r="E9" s="144"/>
      <c r="F9" s="144"/>
      <c r="G9" s="144"/>
      <c r="H9" s="144"/>
      <c r="I9" s="144"/>
      <c r="J9" s="144"/>
      <c r="K9" s="144"/>
      <c r="M9" s="71" t="s">
        <v>361</v>
      </c>
      <c r="V9" s="74"/>
    </row>
    <row r="10" spans="1:22">
      <c r="A10" s="72"/>
      <c r="B10" s="71" t="s">
        <v>335</v>
      </c>
      <c r="M10" s="71" t="s">
        <v>362</v>
      </c>
      <c r="V10" s="74"/>
    </row>
    <row r="11" spans="1:22">
      <c r="A11" s="72"/>
      <c r="B11" s="71" t="s">
        <v>332</v>
      </c>
      <c r="E11" s="75" t="str">
        <f>Máscara!M13</f>
        <v>Euro Import - Londrina</v>
      </c>
      <c r="F11" s="75"/>
      <c r="G11" s="75"/>
      <c r="H11" s="75"/>
      <c r="I11" s="75"/>
      <c r="J11" s="75"/>
      <c r="K11" s="75"/>
      <c r="M11" s="71" t="s">
        <v>363</v>
      </c>
      <c r="V11" s="74"/>
    </row>
    <row r="12" spans="1:22" ht="15" customHeight="1">
      <c r="A12" s="72"/>
      <c r="B12" s="71" t="s">
        <v>333</v>
      </c>
      <c r="D12" s="75" t="str">
        <f>Máscara!O8</f>
        <v>08.964.646/0001-09</v>
      </c>
      <c r="E12" s="75"/>
      <c r="F12" s="75"/>
      <c r="G12" s="75"/>
      <c r="H12" s="75"/>
      <c r="I12" s="75"/>
      <c r="J12" s="75"/>
      <c r="K12" s="75"/>
      <c r="M12" s="80" t="s">
        <v>516</v>
      </c>
      <c r="N12" s="80"/>
      <c r="O12" s="80"/>
      <c r="P12" s="80"/>
      <c r="Q12" s="80"/>
      <c r="R12" s="80"/>
      <c r="S12" s="80"/>
      <c r="T12" s="80"/>
      <c r="U12" s="80"/>
      <c r="V12" s="74"/>
    </row>
    <row r="13" spans="1:22">
      <c r="A13" s="72"/>
      <c r="B13" s="71" t="s">
        <v>336</v>
      </c>
      <c r="M13" s="71" t="s">
        <v>517</v>
      </c>
      <c r="V13" s="74"/>
    </row>
    <row r="14" spans="1:22">
      <c r="A14" s="72"/>
      <c r="B14" s="71" t="s">
        <v>337</v>
      </c>
      <c r="M14" s="71" t="s">
        <v>419</v>
      </c>
      <c r="V14" s="74"/>
    </row>
    <row r="15" spans="1:22">
      <c r="A15" s="72"/>
      <c r="B15" s="76" t="s">
        <v>332</v>
      </c>
      <c r="E15" s="75" t="str">
        <f>Máscara!C16</f>
        <v>ELAINE SILVA</v>
      </c>
      <c r="F15" s="75"/>
      <c r="G15" s="75"/>
      <c r="H15" s="75"/>
      <c r="I15" s="75"/>
      <c r="J15" s="75"/>
      <c r="K15" s="75"/>
      <c r="M15" s="71" t="s">
        <v>420</v>
      </c>
      <c r="V15" s="74"/>
    </row>
    <row r="16" spans="1:22">
      <c r="A16" s="72"/>
      <c r="B16" s="71" t="s">
        <v>338</v>
      </c>
      <c r="E16" s="77" t="str">
        <f>Máscara!E16</f>
        <v>123.456.789-00</v>
      </c>
      <c r="F16" s="77"/>
      <c r="G16" s="77"/>
      <c r="H16" s="77"/>
      <c r="I16" s="77"/>
      <c r="J16" s="77"/>
      <c r="K16" s="77"/>
      <c r="M16" s="71" t="s">
        <v>421</v>
      </c>
      <c r="V16" s="74"/>
    </row>
    <row r="17" spans="1:22">
      <c r="A17" s="72"/>
      <c r="M17" s="71" t="s">
        <v>422</v>
      </c>
      <c r="V17" s="74"/>
    </row>
    <row r="18" spans="1:22" ht="15" customHeight="1">
      <c r="A18" s="72"/>
      <c r="B18" s="144" t="s">
        <v>500</v>
      </c>
      <c r="C18" s="144"/>
      <c r="D18" s="144"/>
      <c r="E18" s="144"/>
      <c r="F18" s="144"/>
      <c r="G18" s="144"/>
      <c r="H18" s="144"/>
      <c r="I18" s="144"/>
      <c r="J18" s="144"/>
      <c r="K18" s="144"/>
      <c r="V18" s="74"/>
    </row>
    <row r="19" spans="1:22" ht="15" customHeight="1">
      <c r="A19" s="72"/>
      <c r="B19" s="144" t="s">
        <v>501</v>
      </c>
      <c r="C19" s="144"/>
      <c r="D19" s="144"/>
      <c r="E19" s="144"/>
      <c r="F19" s="144"/>
      <c r="G19" s="147" cm="1">
        <f t="array" ref="G19">Valor_a_pagar[VALOR A PAGAR]</f>
        <v>11321.234528644141</v>
      </c>
      <c r="H19" s="147"/>
      <c r="I19" s="144" t="s">
        <v>556</v>
      </c>
      <c r="J19" s="144"/>
      <c r="K19" s="144"/>
      <c r="M19" s="71" t="s">
        <v>424</v>
      </c>
      <c r="V19" s="74"/>
    </row>
    <row r="20" spans="1:22" ht="15" customHeight="1">
      <c r="A20" s="72"/>
      <c r="B20" s="71" t="s">
        <v>539</v>
      </c>
      <c r="V20" s="74"/>
    </row>
    <row r="21" spans="1:22" ht="15" customHeight="1">
      <c r="A21" s="72"/>
      <c r="M21" s="71" t="s">
        <v>367</v>
      </c>
      <c r="V21" s="74"/>
    </row>
    <row r="22" spans="1:22">
      <c r="A22" s="72"/>
      <c r="B22" s="71" t="s">
        <v>340</v>
      </c>
      <c r="C22" s="75" t="str">
        <f>Máscara!I13</f>
        <v>SÉRIE 3</v>
      </c>
      <c r="D22" s="75"/>
      <c r="E22" s="75"/>
      <c r="F22" s="75"/>
      <c r="G22" s="75"/>
      <c r="H22" s="75"/>
      <c r="I22" s="75"/>
      <c r="J22" s="75"/>
      <c r="K22" s="75"/>
      <c r="V22" s="74"/>
    </row>
    <row r="23" spans="1:22">
      <c r="A23" s="72"/>
      <c r="B23" s="71" t="s">
        <v>341</v>
      </c>
      <c r="D23" s="77" t="str">
        <f>Máscara!G13</f>
        <v>2021/2022</v>
      </c>
      <c r="E23" s="77"/>
      <c r="F23" s="77"/>
      <c r="G23" s="77"/>
      <c r="H23" s="77"/>
      <c r="I23" s="77"/>
      <c r="J23" s="77"/>
      <c r="K23" s="77"/>
      <c r="M23" s="144" t="s">
        <v>546</v>
      </c>
      <c r="N23" s="144"/>
      <c r="O23" s="144"/>
      <c r="P23" s="144"/>
      <c r="Q23" s="144"/>
      <c r="R23" s="144"/>
      <c r="S23" s="144"/>
      <c r="T23" s="144"/>
      <c r="U23" s="144"/>
      <c r="V23" s="74"/>
    </row>
    <row r="24" spans="1:22" ht="15" customHeight="1">
      <c r="A24" s="72"/>
      <c r="B24" s="71" t="s">
        <v>342</v>
      </c>
      <c r="C24" s="75" t="str">
        <f>Máscara!C13</f>
        <v>9IJHFT6RES4A98765</v>
      </c>
      <c r="D24" s="75"/>
      <c r="E24" s="75"/>
      <c r="F24" s="75"/>
      <c r="G24" s="75"/>
      <c r="H24" s="75"/>
      <c r="I24" s="75"/>
      <c r="J24" s="75"/>
      <c r="K24" s="75"/>
      <c r="M24" s="144" t="s">
        <v>519</v>
      </c>
      <c r="N24" s="144"/>
      <c r="O24" s="144"/>
      <c r="P24" s="144"/>
      <c r="Q24" s="144"/>
      <c r="R24" s="144"/>
      <c r="S24" s="144"/>
      <c r="T24" s="144"/>
      <c r="U24" s="144"/>
      <c r="V24" s="74"/>
    </row>
    <row r="25" spans="1:22" ht="15" customHeight="1">
      <c r="A25" s="72"/>
      <c r="M25" s="71" t="s">
        <v>520</v>
      </c>
      <c r="N25" s="80"/>
      <c r="O25" s="80"/>
      <c r="P25" s="80"/>
      <c r="Q25" s="80"/>
      <c r="R25" s="80"/>
      <c r="S25" s="80"/>
      <c r="T25" s="80"/>
      <c r="U25" s="80"/>
      <c r="V25" s="74"/>
    </row>
    <row r="26" spans="1:22" ht="15" customHeight="1">
      <c r="A26" s="72"/>
      <c r="B26" s="144" t="s">
        <v>502</v>
      </c>
      <c r="C26" s="144"/>
      <c r="D26" s="144"/>
      <c r="E26" s="144"/>
      <c r="F26" s="144"/>
      <c r="G26" s="144"/>
      <c r="H26" s="144"/>
      <c r="I26" s="144"/>
      <c r="J26" s="144"/>
      <c r="K26" s="144"/>
      <c r="V26" s="74"/>
    </row>
    <row r="27" spans="1:22" ht="15" customHeight="1">
      <c r="A27" s="72"/>
      <c r="B27" s="144" t="s">
        <v>503</v>
      </c>
      <c r="C27" s="144"/>
      <c r="D27" s="144"/>
      <c r="E27" s="144"/>
      <c r="F27" s="144"/>
      <c r="G27" s="144"/>
      <c r="H27" s="144"/>
      <c r="I27" s="144"/>
      <c r="J27" s="144"/>
      <c r="K27" s="144"/>
      <c r="M27" s="144" t="s">
        <v>533</v>
      </c>
      <c r="N27" s="144"/>
      <c r="O27" s="144"/>
      <c r="P27" s="144"/>
      <c r="Q27" s="144"/>
      <c r="R27" s="144"/>
      <c r="S27" s="144"/>
      <c r="T27" s="144"/>
      <c r="U27" s="144"/>
      <c r="V27" s="74"/>
    </row>
    <row r="28" spans="1:22" ht="15.75">
      <c r="A28" s="72"/>
      <c r="B28" s="144" t="s">
        <v>576</v>
      </c>
      <c r="C28" s="145"/>
      <c r="D28" s="145"/>
      <c r="E28" s="145"/>
      <c r="F28" s="145"/>
      <c r="G28" s="145"/>
      <c r="H28" s="145"/>
      <c r="I28" s="145"/>
      <c r="J28" s="145"/>
      <c r="K28" s="145"/>
      <c r="M28" s="144" t="s">
        <v>534</v>
      </c>
      <c r="N28" s="144"/>
      <c r="O28" s="144"/>
      <c r="P28" s="144"/>
      <c r="Q28" s="144"/>
      <c r="R28" s="144"/>
      <c r="S28" s="144"/>
      <c r="T28" s="144"/>
      <c r="U28" s="144"/>
      <c r="V28" s="74"/>
    </row>
    <row r="29" spans="1:22" ht="15.75">
      <c r="A29" s="72"/>
      <c r="B29" s="144" t="s">
        <v>541</v>
      </c>
      <c r="C29" s="145"/>
      <c r="D29" s="145"/>
      <c r="E29" s="145"/>
      <c r="F29" s="145"/>
      <c r="G29" s="145"/>
      <c r="H29" s="145"/>
      <c r="I29" s="145"/>
      <c r="J29" s="145"/>
      <c r="K29" s="145"/>
      <c r="M29" s="144" t="s">
        <v>521</v>
      </c>
      <c r="N29" s="145"/>
      <c r="O29" s="145"/>
      <c r="P29" s="145"/>
      <c r="Q29" s="145"/>
      <c r="R29" s="145"/>
      <c r="S29" s="145"/>
      <c r="T29" s="145"/>
      <c r="U29" s="145"/>
      <c r="V29" s="74"/>
    </row>
    <row r="30" spans="1:22">
      <c r="A30" s="72"/>
      <c r="B30" s="71" t="s">
        <v>542</v>
      </c>
      <c r="M30" s="71" t="s">
        <v>547</v>
      </c>
      <c r="V30" s="74"/>
    </row>
    <row r="31" spans="1:22">
      <c r="A31" s="72"/>
      <c r="V31" s="74"/>
    </row>
    <row r="32" spans="1:22" ht="15" customHeight="1">
      <c r="A32" s="72"/>
      <c r="B32" s="144" t="s">
        <v>413</v>
      </c>
      <c r="C32" s="145"/>
      <c r="D32" s="145"/>
      <c r="E32" s="145"/>
      <c r="F32" s="145"/>
      <c r="G32" s="146">
        <f>Máscara!M16</f>
        <v>46083</v>
      </c>
      <c r="H32" s="146"/>
      <c r="I32" s="144" t="s">
        <v>507</v>
      </c>
      <c r="J32" s="144"/>
      <c r="K32" s="144"/>
      <c r="M32" s="71" t="s">
        <v>427</v>
      </c>
      <c r="V32" s="74"/>
    </row>
    <row r="33" spans="1:22" ht="15" customHeight="1">
      <c r="A33" s="72"/>
      <c r="B33" s="144" t="s">
        <v>508</v>
      </c>
      <c r="C33" s="144"/>
      <c r="D33" s="144"/>
      <c r="E33" s="144"/>
      <c r="F33" s="150">
        <f>Máscara!M19</f>
        <v>80000</v>
      </c>
      <c r="G33" s="150"/>
      <c r="H33" s="71" t="s">
        <v>345</v>
      </c>
      <c r="V33" s="74"/>
    </row>
    <row r="34" spans="1:22" ht="15.75">
      <c r="A34" s="72"/>
      <c r="M34" s="144" t="s">
        <v>548</v>
      </c>
      <c r="N34" s="145"/>
      <c r="O34" s="145"/>
      <c r="P34" s="145"/>
      <c r="Q34" s="145"/>
      <c r="R34" s="145"/>
      <c r="S34" s="145"/>
      <c r="T34" s="145"/>
      <c r="U34" s="145"/>
      <c r="V34" s="74"/>
    </row>
    <row r="35" spans="1:22" ht="15" customHeight="1">
      <c r="A35" s="72"/>
      <c r="B35" s="144" t="s">
        <v>509</v>
      </c>
      <c r="C35" s="144"/>
      <c r="D35" s="144"/>
      <c r="E35" s="144"/>
      <c r="F35" s="144"/>
      <c r="G35" s="144"/>
      <c r="H35" s="144"/>
      <c r="I35" s="144"/>
      <c r="J35" s="144"/>
      <c r="K35" s="144"/>
      <c r="M35" s="144" t="s">
        <v>524</v>
      </c>
      <c r="N35" s="145"/>
      <c r="O35" s="145"/>
      <c r="P35" s="145"/>
      <c r="Q35" s="145"/>
      <c r="R35" s="145"/>
      <c r="S35" s="145"/>
      <c r="T35" s="145"/>
      <c r="U35" s="145"/>
      <c r="V35" s="74"/>
    </row>
    <row r="36" spans="1:22" ht="15" customHeight="1">
      <c r="A36" s="72"/>
      <c r="B36" s="144" t="s">
        <v>543</v>
      </c>
      <c r="C36" s="144"/>
      <c r="D36" s="144"/>
      <c r="E36" s="144"/>
      <c r="F36" s="144"/>
      <c r="G36" s="144"/>
      <c r="H36" s="144"/>
      <c r="I36" s="144"/>
      <c r="J36" s="144"/>
      <c r="K36" s="144"/>
      <c r="M36" s="144" t="s">
        <v>566</v>
      </c>
      <c r="N36" s="145"/>
      <c r="O36" s="145"/>
      <c r="P36" s="145"/>
      <c r="Q36" s="145"/>
      <c r="R36" s="145"/>
      <c r="S36" s="145"/>
      <c r="T36" s="145"/>
      <c r="U36" s="145"/>
      <c r="V36" s="74"/>
    </row>
    <row r="37" spans="1:22" ht="15" customHeight="1">
      <c r="A37" s="72"/>
      <c r="B37" s="71" t="s">
        <v>511</v>
      </c>
      <c r="M37" s="71" t="s">
        <v>567</v>
      </c>
      <c r="U37" s="80"/>
      <c r="V37" s="74"/>
    </row>
    <row r="38" spans="1:22" ht="15" customHeight="1">
      <c r="A38" s="72"/>
      <c r="V38" s="74"/>
    </row>
    <row r="39" spans="1:22" ht="15" customHeight="1">
      <c r="A39" s="72"/>
      <c r="B39" s="144" t="s">
        <v>512</v>
      </c>
      <c r="C39" s="144"/>
      <c r="D39" s="144"/>
      <c r="E39" s="144"/>
      <c r="F39" s="144"/>
      <c r="G39" s="144"/>
      <c r="H39" s="144"/>
      <c r="I39" s="144"/>
      <c r="J39" s="144"/>
      <c r="K39" s="144"/>
      <c r="M39" s="144" t="s">
        <v>549</v>
      </c>
      <c r="N39" s="145"/>
      <c r="O39" s="145"/>
      <c r="P39" s="145"/>
      <c r="Q39" s="145"/>
      <c r="R39" s="145"/>
      <c r="S39" s="145"/>
      <c r="T39" s="145"/>
      <c r="U39" s="145"/>
      <c r="V39" s="74"/>
    </row>
    <row r="40" spans="1:22" ht="15" customHeight="1">
      <c r="A40" s="72"/>
      <c r="B40" s="144" t="s">
        <v>513</v>
      </c>
      <c r="C40" s="144"/>
      <c r="D40" s="144"/>
      <c r="E40" s="144"/>
      <c r="F40" s="144"/>
      <c r="G40" s="144"/>
      <c r="H40" s="144"/>
      <c r="I40" s="144"/>
      <c r="J40" s="144"/>
      <c r="K40" s="144"/>
      <c r="M40" s="144" t="s">
        <v>526</v>
      </c>
      <c r="N40" s="145"/>
      <c r="O40" s="145"/>
      <c r="P40" s="145"/>
      <c r="Q40" s="145"/>
      <c r="R40" s="145"/>
      <c r="S40" s="145"/>
      <c r="T40" s="145"/>
      <c r="U40" s="145"/>
      <c r="V40" s="74"/>
    </row>
    <row r="41" spans="1:22" ht="15.75">
      <c r="A41" s="72"/>
      <c r="B41" s="71" t="s">
        <v>514</v>
      </c>
      <c r="M41" s="144" t="s">
        <v>569</v>
      </c>
      <c r="N41" s="145"/>
      <c r="O41" s="145"/>
      <c r="P41" s="145"/>
      <c r="Q41" s="145"/>
      <c r="R41" s="145"/>
      <c r="S41" s="145"/>
      <c r="T41" s="145"/>
      <c r="U41" s="145"/>
      <c r="V41" s="74"/>
    </row>
    <row r="42" spans="1:22" ht="15.75">
      <c r="A42" s="72"/>
      <c r="M42" s="144" t="s">
        <v>527</v>
      </c>
      <c r="N42" s="145"/>
      <c r="O42" s="145"/>
      <c r="P42" s="145"/>
      <c r="Q42" s="145"/>
      <c r="R42" s="145"/>
      <c r="S42" s="145"/>
      <c r="T42" s="145"/>
      <c r="U42" s="145"/>
      <c r="V42" s="74"/>
    </row>
    <row r="43" spans="1:22" ht="15.75">
      <c r="A43" s="72"/>
      <c r="B43" s="71" t="s">
        <v>350</v>
      </c>
      <c r="C43" s="146">
        <f>Máscara!C21</f>
        <v>44838</v>
      </c>
      <c r="D43" s="146"/>
      <c r="E43" s="146"/>
      <c r="M43" s="144" t="s">
        <v>528</v>
      </c>
      <c r="N43" s="145"/>
      <c r="O43" s="145"/>
      <c r="P43" s="145"/>
      <c r="Q43" s="145"/>
      <c r="R43" s="145"/>
      <c r="S43" s="145"/>
      <c r="T43" s="145"/>
      <c r="U43" s="145"/>
      <c r="V43" s="74"/>
    </row>
    <row r="44" spans="1:22">
      <c r="A44" s="72"/>
      <c r="M44" s="71" t="s">
        <v>550</v>
      </c>
      <c r="V44" s="74"/>
    </row>
    <row r="45" spans="1:22" ht="15" customHeight="1">
      <c r="A45" s="72"/>
      <c r="V45" s="74"/>
    </row>
    <row r="46" spans="1:22" ht="15" customHeight="1">
      <c r="A46" s="72"/>
      <c r="M46" s="71" t="s">
        <v>383</v>
      </c>
      <c r="V46" s="74"/>
    </row>
    <row r="47" spans="1:22" ht="15" customHeight="1">
      <c r="A47" s="72"/>
      <c r="B47" s="148" t="s">
        <v>351</v>
      </c>
      <c r="C47" s="148"/>
      <c r="D47" s="148"/>
      <c r="E47" s="148"/>
      <c r="F47" s="148"/>
      <c r="H47" s="148" t="s">
        <v>352</v>
      </c>
      <c r="I47" s="148"/>
      <c r="J47" s="148"/>
      <c r="K47" s="148"/>
      <c r="V47" s="74"/>
    </row>
    <row r="48" spans="1:22" ht="15.75">
      <c r="A48" s="72"/>
      <c r="H48" s="149" t="s">
        <v>353</v>
      </c>
      <c r="I48" s="149"/>
      <c r="J48" s="149"/>
      <c r="K48" s="149"/>
      <c r="M48" s="144" t="s">
        <v>551</v>
      </c>
      <c r="N48" s="145"/>
      <c r="O48" s="145"/>
      <c r="P48" s="145"/>
      <c r="Q48" s="145"/>
      <c r="R48" s="145"/>
      <c r="S48" s="145"/>
      <c r="T48" s="145"/>
      <c r="U48" s="145"/>
      <c r="V48" s="74"/>
    </row>
    <row r="49" spans="1:22" ht="15.75">
      <c r="M49" s="144" t="s">
        <v>536</v>
      </c>
      <c r="N49" s="145"/>
      <c r="O49" s="145"/>
      <c r="P49" s="145"/>
      <c r="Q49" s="145"/>
      <c r="R49" s="145"/>
      <c r="S49" s="145"/>
      <c r="T49" s="145"/>
      <c r="U49" s="145"/>
      <c r="V49" s="74"/>
    </row>
    <row r="50" spans="1:22" ht="15.75">
      <c r="M50" s="144" t="s">
        <v>552</v>
      </c>
      <c r="N50" s="145"/>
      <c r="O50" s="145"/>
      <c r="P50" s="145"/>
      <c r="Q50" s="145"/>
      <c r="R50" s="145"/>
      <c r="S50" s="145"/>
      <c r="T50" s="145"/>
      <c r="U50" s="145"/>
      <c r="V50" s="74"/>
    </row>
    <row r="51" spans="1:22">
      <c r="M51" s="71" t="s">
        <v>532</v>
      </c>
      <c r="U51" s="80"/>
      <c r="V51" s="74"/>
    </row>
    <row r="52" spans="1:22">
      <c r="A52" s="72"/>
      <c r="V52" s="74"/>
    </row>
    <row r="53" spans="1:22">
      <c r="A53" s="78"/>
      <c r="B53" s="75"/>
      <c r="C53" s="75"/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9"/>
    </row>
  </sheetData>
  <mergeCells count="41">
    <mergeCell ref="M50:U50"/>
    <mergeCell ref="B40:K40"/>
    <mergeCell ref="M40:U40"/>
    <mergeCell ref="M41:U41"/>
    <mergeCell ref="M42:U42"/>
    <mergeCell ref="C43:E43"/>
    <mergeCell ref="M43:U43"/>
    <mergeCell ref="B47:F47"/>
    <mergeCell ref="H47:K47"/>
    <mergeCell ref="H48:K48"/>
    <mergeCell ref="M48:U48"/>
    <mergeCell ref="M49:U49"/>
    <mergeCell ref="B39:K39"/>
    <mergeCell ref="M39:U39"/>
    <mergeCell ref="B29:K29"/>
    <mergeCell ref="M29:U29"/>
    <mergeCell ref="B32:F32"/>
    <mergeCell ref="G32:H32"/>
    <mergeCell ref="I32:K32"/>
    <mergeCell ref="B33:E33"/>
    <mergeCell ref="F33:G33"/>
    <mergeCell ref="M34:U34"/>
    <mergeCell ref="B35:K35"/>
    <mergeCell ref="M35:U35"/>
    <mergeCell ref="B36:K36"/>
    <mergeCell ref="M36:U36"/>
    <mergeCell ref="B28:K28"/>
    <mergeCell ref="M28:U28"/>
    <mergeCell ref="B5:K5"/>
    <mergeCell ref="B6:K6"/>
    <mergeCell ref="M6:U6"/>
    <mergeCell ref="B9:K9"/>
    <mergeCell ref="B18:K18"/>
    <mergeCell ref="B19:F19"/>
    <mergeCell ref="G19:H19"/>
    <mergeCell ref="I19:K19"/>
    <mergeCell ref="M23:U23"/>
    <mergeCell ref="M24:U24"/>
    <mergeCell ref="B26:K26"/>
    <mergeCell ref="B27:K27"/>
    <mergeCell ref="M27:U27"/>
  </mergeCells>
  <pageMargins left="0.70866141732283472" right="0.70866141732283472" top="0.55118110236220474" bottom="0.55118110236220474" header="0.31496062992125984" footer="0.31496062992125984"/>
  <pageSetup paperSize="9" scale="64" fitToWidth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ABB0C-BB07-4068-A3D4-642CD2F13E2C}">
  <sheetPr codeName="Planilha11">
    <pageSetUpPr fitToPage="1"/>
  </sheetPr>
  <dimension ref="A1:V49"/>
  <sheetViews>
    <sheetView showGridLines="0" topLeftCell="A22" zoomScaleNormal="100" workbookViewId="0">
      <selection activeCell="D22" sqref="D22"/>
    </sheetView>
  </sheetViews>
  <sheetFormatPr defaultRowHeight="15"/>
  <cols>
    <col min="1" max="1" width="3.7109375" style="71" customWidth="1"/>
    <col min="2" max="2" width="8.140625" style="71" customWidth="1"/>
    <col min="3" max="3" width="6" style="71" customWidth="1"/>
    <col min="4" max="4" width="12.7109375" style="71" customWidth="1"/>
    <col min="5" max="5" width="6.7109375" style="71" customWidth="1"/>
    <col min="6" max="6" width="5.85546875" style="71" customWidth="1"/>
    <col min="7" max="7" width="7.28515625" style="71" customWidth="1"/>
    <col min="8" max="10" width="9.140625" style="71"/>
    <col min="11" max="11" width="13.85546875" style="71" customWidth="1"/>
    <col min="12" max="12" width="9.7109375" style="71" customWidth="1"/>
    <col min="13" max="20" width="9.140625" style="71"/>
    <col min="21" max="21" width="10" style="71" customWidth="1"/>
    <col min="22" max="22" width="3.7109375" style="71" customWidth="1"/>
    <col min="23" max="16384" width="9.140625" style="71"/>
  </cols>
  <sheetData>
    <row r="1" spans="1:22">
      <c r="A1" s="68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70"/>
    </row>
    <row r="2" spans="1:22" ht="27">
      <c r="A2" s="72"/>
      <c r="B2" s="73" t="s">
        <v>330</v>
      </c>
      <c r="M2" s="73" t="s">
        <v>358</v>
      </c>
      <c r="V2" s="74"/>
    </row>
    <row r="3" spans="1:22" ht="27">
      <c r="A3" s="72"/>
      <c r="B3" s="73" t="s">
        <v>451</v>
      </c>
      <c r="V3" s="74"/>
    </row>
    <row r="4" spans="1:22">
      <c r="A4" s="72"/>
      <c r="M4" s="71" t="s">
        <v>459</v>
      </c>
      <c r="V4" s="74"/>
    </row>
    <row r="5" spans="1:22" ht="15" customHeight="1">
      <c r="A5" s="72"/>
      <c r="B5" s="144" t="s">
        <v>553</v>
      </c>
      <c r="C5" s="144"/>
      <c r="D5" s="144"/>
      <c r="E5" s="144"/>
      <c r="F5" s="144"/>
      <c r="G5" s="144"/>
      <c r="H5" s="144"/>
      <c r="I5" s="144"/>
      <c r="J5" s="144"/>
      <c r="K5" s="144"/>
      <c r="V5" s="74"/>
    </row>
    <row r="6" spans="1:22" ht="15" customHeight="1">
      <c r="A6" s="72"/>
      <c r="B6" s="144" t="s">
        <v>561</v>
      </c>
      <c r="C6" s="144"/>
      <c r="D6" s="144"/>
      <c r="E6" s="144"/>
      <c r="F6" s="144"/>
      <c r="G6" s="144"/>
      <c r="H6" s="144"/>
      <c r="I6" s="144"/>
      <c r="J6" s="144"/>
      <c r="K6" s="144"/>
      <c r="M6" s="144" t="s">
        <v>562</v>
      </c>
      <c r="N6" s="144"/>
      <c r="O6" s="144"/>
      <c r="P6" s="144"/>
      <c r="Q6" s="144"/>
      <c r="R6" s="144"/>
      <c r="S6" s="144"/>
      <c r="T6" s="144"/>
      <c r="U6" s="144"/>
      <c r="V6" s="74"/>
    </row>
    <row r="7" spans="1:22">
      <c r="A7" s="72"/>
      <c r="B7" s="71" t="s">
        <v>554</v>
      </c>
      <c r="M7" s="71" t="s">
        <v>545</v>
      </c>
      <c r="V7" s="74"/>
    </row>
    <row r="8" spans="1:22">
      <c r="A8" s="72"/>
      <c r="V8" s="74"/>
    </row>
    <row r="9" spans="1:22" ht="15" customHeight="1">
      <c r="A9" s="72"/>
      <c r="B9" s="144" t="s">
        <v>334</v>
      </c>
      <c r="C9" s="144"/>
      <c r="D9" s="144"/>
      <c r="E9" s="144"/>
      <c r="F9" s="144"/>
      <c r="G9" s="144"/>
      <c r="H9" s="144"/>
      <c r="I9" s="144"/>
      <c r="J9" s="144"/>
      <c r="K9" s="144"/>
      <c r="M9" s="71" t="s">
        <v>361</v>
      </c>
      <c r="V9" s="74"/>
    </row>
    <row r="10" spans="1:22">
      <c r="A10" s="72"/>
      <c r="B10" s="71" t="s">
        <v>335</v>
      </c>
      <c r="M10" s="71" t="s">
        <v>362</v>
      </c>
      <c r="V10" s="74"/>
    </row>
    <row r="11" spans="1:22">
      <c r="A11" s="72"/>
      <c r="B11" s="71" t="s">
        <v>332</v>
      </c>
      <c r="E11" s="75" t="str">
        <f>Máscara!M13</f>
        <v>Euro Import - Londrina</v>
      </c>
      <c r="F11" s="75"/>
      <c r="G11" s="75"/>
      <c r="H11" s="75"/>
      <c r="I11" s="75"/>
      <c r="J11" s="75"/>
      <c r="K11" s="75"/>
      <c r="M11" s="71" t="s">
        <v>363</v>
      </c>
      <c r="V11" s="74"/>
    </row>
    <row r="12" spans="1:22" ht="15" customHeight="1">
      <c r="A12" s="72"/>
      <c r="B12" s="71" t="s">
        <v>333</v>
      </c>
      <c r="D12" s="75" t="str">
        <f>Máscara!O8</f>
        <v>08.964.646/0001-09</v>
      </c>
      <c r="E12" s="75"/>
      <c r="F12" s="75"/>
      <c r="G12" s="75"/>
      <c r="H12" s="75"/>
      <c r="I12" s="75"/>
      <c r="J12" s="75"/>
      <c r="K12" s="75"/>
      <c r="M12" s="80" t="s">
        <v>516</v>
      </c>
      <c r="N12" s="80"/>
      <c r="O12" s="80"/>
      <c r="P12" s="80"/>
      <c r="Q12" s="80"/>
      <c r="R12" s="80"/>
      <c r="S12" s="80"/>
      <c r="T12" s="80"/>
      <c r="U12" s="80"/>
      <c r="V12" s="74"/>
    </row>
    <row r="13" spans="1:22">
      <c r="A13" s="72"/>
      <c r="B13" s="71" t="s">
        <v>336</v>
      </c>
      <c r="M13" s="71" t="s">
        <v>517</v>
      </c>
      <c r="V13" s="74"/>
    </row>
    <row r="14" spans="1:22">
      <c r="A14" s="72"/>
      <c r="B14" s="71" t="s">
        <v>337</v>
      </c>
      <c r="V14" s="74"/>
    </row>
    <row r="15" spans="1:22">
      <c r="A15" s="72"/>
      <c r="B15" s="76" t="s">
        <v>332</v>
      </c>
      <c r="E15" s="75" t="str">
        <f>Máscara!C16</f>
        <v>ELAINE SILVA</v>
      </c>
      <c r="F15" s="75"/>
      <c r="G15" s="75"/>
      <c r="H15" s="75"/>
      <c r="I15" s="75"/>
      <c r="J15" s="75"/>
      <c r="K15" s="75"/>
      <c r="M15" s="71" t="s">
        <v>461</v>
      </c>
      <c r="V15" s="74"/>
    </row>
    <row r="16" spans="1:22">
      <c r="A16" s="72"/>
      <c r="B16" s="71" t="s">
        <v>338</v>
      </c>
      <c r="E16" s="77" t="str">
        <f>Máscara!E16</f>
        <v>123.456.789-00</v>
      </c>
      <c r="F16" s="77"/>
      <c r="G16" s="77"/>
      <c r="H16" s="77"/>
      <c r="I16" s="77"/>
      <c r="J16" s="77"/>
      <c r="K16" s="77"/>
      <c r="V16" s="74"/>
    </row>
    <row r="17" spans="1:22">
      <c r="A17" s="72"/>
      <c r="M17" s="71" t="s">
        <v>367</v>
      </c>
      <c r="V17" s="74"/>
    </row>
    <row r="18" spans="1:22" ht="15" customHeight="1">
      <c r="A18" s="72"/>
      <c r="B18" s="144" t="s">
        <v>500</v>
      </c>
      <c r="C18" s="144"/>
      <c r="D18" s="144"/>
      <c r="E18" s="144"/>
      <c r="F18" s="144"/>
      <c r="G18" s="144"/>
      <c r="H18" s="144"/>
      <c r="I18" s="144"/>
      <c r="J18" s="144"/>
      <c r="K18" s="144"/>
      <c r="V18" s="74"/>
    </row>
    <row r="19" spans="1:22" ht="15" customHeight="1">
      <c r="A19" s="72"/>
      <c r="B19" s="144" t="s">
        <v>501</v>
      </c>
      <c r="C19" s="144"/>
      <c r="D19" s="144"/>
      <c r="E19" s="144"/>
      <c r="F19" s="144"/>
      <c r="G19" s="147" cm="1">
        <f t="array" ref="G19">Valor_a_pagar[VALOR A PAGAR]</f>
        <v>11321.234528644141</v>
      </c>
      <c r="H19" s="147"/>
      <c r="I19" s="144" t="s">
        <v>555</v>
      </c>
      <c r="J19" s="144"/>
      <c r="K19" s="144"/>
      <c r="M19" s="144" t="s">
        <v>518</v>
      </c>
      <c r="N19" s="144"/>
      <c r="O19" s="144"/>
      <c r="P19" s="144"/>
      <c r="Q19" s="144"/>
      <c r="R19" s="144"/>
      <c r="S19" s="144"/>
      <c r="T19" s="144"/>
      <c r="U19" s="144"/>
      <c r="V19" s="74"/>
    </row>
    <row r="20" spans="1:22" ht="15" customHeight="1">
      <c r="A20" s="72"/>
      <c r="B20" s="71" t="s">
        <v>557</v>
      </c>
      <c r="M20" s="144" t="s">
        <v>519</v>
      </c>
      <c r="N20" s="144"/>
      <c r="O20" s="144"/>
      <c r="P20" s="144"/>
      <c r="Q20" s="144"/>
      <c r="R20" s="144"/>
      <c r="S20" s="144"/>
      <c r="T20" s="144"/>
      <c r="U20" s="144"/>
      <c r="V20" s="74"/>
    </row>
    <row r="21" spans="1:22" ht="15" customHeight="1">
      <c r="A21" s="72"/>
      <c r="M21" s="71" t="s">
        <v>563</v>
      </c>
      <c r="N21" s="80"/>
      <c r="O21" s="80"/>
      <c r="P21" s="80"/>
      <c r="Q21" s="80"/>
      <c r="R21" s="80"/>
      <c r="S21" s="80"/>
      <c r="T21" s="80"/>
      <c r="U21" s="80"/>
      <c r="V21" s="74"/>
    </row>
    <row r="22" spans="1:22">
      <c r="A22" s="72"/>
      <c r="B22" s="71" t="s">
        <v>340</v>
      </c>
      <c r="D22" s="75" t="str">
        <f>Máscara!I13</f>
        <v>SÉRIE 3</v>
      </c>
      <c r="E22" s="75"/>
      <c r="F22" s="75"/>
      <c r="G22" s="75"/>
      <c r="H22" s="75"/>
      <c r="I22" s="75"/>
      <c r="J22" s="75"/>
      <c r="K22" s="75"/>
      <c r="V22" s="74"/>
    </row>
    <row r="23" spans="1:22">
      <c r="A23" s="72"/>
      <c r="B23" s="71" t="s">
        <v>341</v>
      </c>
      <c r="D23" s="77" t="str">
        <f>Máscara!G13</f>
        <v>2021/2022</v>
      </c>
      <c r="E23" s="77"/>
      <c r="F23" s="77"/>
      <c r="G23" s="77"/>
      <c r="H23" s="77"/>
      <c r="I23" s="77"/>
      <c r="J23" s="77"/>
      <c r="K23" s="77"/>
      <c r="M23" s="144" t="s">
        <v>533</v>
      </c>
      <c r="N23" s="144"/>
      <c r="O23" s="144"/>
      <c r="P23" s="144"/>
      <c r="Q23" s="144"/>
      <c r="R23" s="144"/>
      <c r="S23" s="144"/>
      <c r="T23" s="144"/>
      <c r="U23" s="144"/>
      <c r="V23" s="74"/>
    </row>
    <row r="24" spans="1:22" ht="15" customHeight="1">
      <c r="A24" s="72"/>
      <c r="B24" s="71" t="s">
        <v>342</v>
      </c>
      <c r="C24" s="75" t="str">
        <f>Máscara!C13</f>
        <v>9IJHFT6RES4A98765</v>
      </c>
      <c r="D24" s="75"/>
      <c r="E24" s="75"/>
      <c r="F24" s="75"/>
      <c r="G24" s="75"/>
      <c r="H24" s="75"/>
      <c r="I24" s="75"/>
      <c r="J24" s="75"/>
      <c r="K24" s="75"/>
      <c r="M24" s="144" t="s">
        <v>534</v>
      </c>
      <c r="N24" s="144"/>
      <c r="O24" s="144"/>
      <c r="P24" s="144"/>
      <c r="Q24" s="144"/>
      <c r="R24" s="144"/>
      <c r="S24" s="144"/>
      <c r="T24" s="144"/>
      <c r="U24" s="144"/>
      <c r="V24" s="74"/>
    </row>
    <row r="25" spans="1:22" ht="15" customHeight="1">
      <c r="A25" s="72"/>
      <c r="M25" s="144" t="s">
        <v>521</v>
      </c>
      <c r="N25" s="145"/>
      <c r="O25" s="145"/>
      <c r="P25" s="145"/>
      <c r="Q25" s="145"/>
      <c r="R25" s="145"/>
      <c r="S25" s="145"/>
      <c r="T25" s="145"/>
      <c r="U25" s="145"/>
      <c r="V25" s="74"/>
    </row>
    <row r="26" spans="1:22" ht="15" customHeight="1">
      <c r="A26" s="72"/>
      <c r="B26" s="144" t="s">
        <v>502</v>
      </c>
      <c r="C26" s="144"/>
      <c r="D26" s="144"/>
      <c r="E26" s="144"/>
      <c r="F26" s="144"/>
      <c r="G26" s="144"/>
      <c r="H26" s="144"/>
      <c r="I26" s="144"/>
      <c r="J26" s="144"/>
      <c r="K26" s="144"/>
      <c r="M26" s="71" t="s">
        <v>564</v>
      </c>
      <c r="V26" s="74"/>
    </row>
    <row r="27" spans="1:22" ht="15" customHeight="1">
      <c r="A27" s="72"/>
      <c r="B27" s="144" t="s">
        <v>503</v>
      </c>
      <c r="C27" s="144"/>
      <c r="D27" s="144"/>
      <c r="E27" s="144"/>
      <c r="F27" s="144"/>
      <c r="G27" s="144"/>
      <c r="H27" s="144"/>
      <c r="I27" s="144"/>
      <c r="J27" s="144"/>
      <c r="K27" s="144"/>
      <c r="V27" s="74"/>
    </row>
    <row r="28" spans="1:22" ht="15.75">
      <c r="A28" s="72"/>
      <c r="B28" s="144" t="s">
        <v>577</v>
      </c>
      <c r="C28" s="145"/>
      <c r="D28" s="145"/>
      <c r="E28" s="145"/>
      <c r="F28" s="145"/>
      <c r="G28" s="145"/>
      <c r="H28" s="145"/>
      <c r="I28" s="145"/>
      <c r="J28" s="145"/>
      <c r="K28" s="145"/>
      <c r="M28" s="71" t="s">
        <v>464</v>
      </c>
      <c r="V28" s="74"/>
    </row>
    <row r="29" spans="1:22" ht="15.75">
      <c r="A29" s="72"/>
      <c r="B29" s="144" t="s">
        <v>558</v>
      </c>
      <c r="C29" s="145"/>
      <c r="D29" s="145"/>
      <c r="E29" s="145"/>
      <c r="F29" s="145"/>
      <c r="G29" s="145"/>
      <c r="H29" s="145"/>
      <c r="I29" s="145"/>
      <c r="J29" s="145"/>
      <c r="K29" s="145"/>
      <c r="V29" s="74"/>
    </row>
    <row r="30" spans="1:22" ht="15.75">
      <c r="A30" s="72"/>
      <c r="B30" s="71" t="s">
        <v>559</v>
      </c>
      <c r="M30" s="144" t="s">
        <v>565</v>
      </c>
      <c r="N30" s="145"/>
      <c r="O30" s="145"/>
      <c r="P30" s="145"/>
      <c r="Q30" s="145"/>
      <c r="R30" s="145"/>
      <c r="S30" s="145"/>
      <c r="T30" s="145"/>
      <c r="U30" s="145"/>
      <c r="V30" s="74"/>
    </row>
    <row r="31" spans="1:22" ht="15.75">
      <c r="A31" s="72"/>
      <c r="M31" s="144" t="s">
        <v>524</v>
      </c>
      <c r="N31" s="145"/>
      <c r="O31" s="145"/>
      <c r="P31" s="145"/>
      <c r="Q31" s="145"/>
      <c r="R31" s="145"/>
      <c r="S31" s="145"/>
      <c r="T31" s="145"/>
      <c r="U31" s="145"/>
      <c r="V31" s="74"/>
    </row>
    <row r="32" spans="1:22" ht="15" customHeight="1">
      <c r="A32" s="72"/>
      <c r="B32" s="144" t="s">
        <v>456</v>
      </c>
      <c r="C32" s="145"/>
      <c r="D32" s="145"/>
      <c r="E32" s="145"/>
      <c r="F32" s="145"/>
      <c r="G32" s="146">
        <f>Máscara!M16</f>
        <v>46083</v>
      </c>
      <c r="H32" s="146"/>
      <c r="I32" s="144" t="s">
        <v>507</v>
      </c>
      <c r="J32" s="144"/>
      <c r="K32" s="144"/>
      <c r="M32" s="144" t="s">
        <v>566</v>
      </c>
      <c r="N32" s="145"/>
      <c r="O32" s="145"/>
      <c r="P32" s="145"/>
      <c r="Q32" s="145"/>
      <c r="R32" s="145"/>
      <c r="S32" s="145"/>
      <c r="T32" s="145"/>
      <c r="U32" s="145"/>
      <c r="V32" s="74"/>
    </row>
    <row r="33" spans="1:22" ht="15" customHeight="1">
      <c r="A33" s="72"/>
      <c r="B33" s="144" t="s">
        <v>508</v>
      </c>
      <c r="C33" s="144"/>
      <c r="D33" s="144"/>
      <c r="E33" s="144"/>
      <c r="F33" s="150">
        <f>Máscara!M19</f>
        <v>80000</v>
      </c>
      <c r="G33" s="150"/>
      <c r="H33" s="71" t="s">
        <v>345</v>
      </c>
      <c r="M33" s="71" t="s">
        <v>567</v>
      </c>
      <c r="U33" s="80"/>
      <c r="V33" s="74"/>
    </row>
    <row r="34" spans="1:22">
      <c r="A34" s="72"/>
      <c r="V34" s="74"/>
    </row>
    <row r="35" spans="1:22" ht="15" customHeight="1">
      <c r="A35" s="72"/>
      <c r="B35" s="144" t="s">
        <v>509</v>
      </c>
      <c r="C35" s="144"/>
      <c r="D35" s="144"/>
      <c r="E35" s="144"/>
      <c r="F35" s="144"/>
      <c r="G35" s="144"/>
      <c r="H35" s="144"/>
      <c r="I35" s="144"/>
      <c r="J35" s="144"/>
      <c r="K35" s="144"/>
      <c r="M35" s="144" t="s">
        <v>568</v>
      </c>
      <c r="N35" s="145"/>
      <c r="O35" s="145"/>
      <c r="P35" s="145"/>
      <c r="Q35" s="145"/>
      <c r="R35" s="145"/>
      <c r="S35" s="145"/>
      <c r="T35" s="145"/>
      <c r="U35" s="145"/>
      <c r="V35" s="74"/>
    </row>
    <row r="36" spans="1:22" ht="15" customHeight="1">
      <c r="A36" s="72"/>
      <c r="B36" s="144" t="s">
        <v>560</v>
      </c>
      <c r="C36" s="144"/>
      <c r="D36" s="144"/>
      <c r="E36" s="144"/>
      <c r="F36" s="144"/>
      <c r="G36" s="144"/>
      <c r="H36" s="144"/>
      <c r="I36" s="144"/>
      <c r="J36" s="144"/>
      <c r="K36" s="144"/>
      <c r="M36" s="144" t="s">
        <v>526</v>
      </c>
      <c r="N36" s="145"/>
      <c r="O36" s="145"/>
      <c r="P36" s="145"/>
      <c r="Q36" s="145"/>
      <c r="R36" s="145"/>
      <c r="S36" s="145"/>
      <c r="T36" s="145"/>
      <c r="U36" s="145"/>
      <c r="V36" s="74"/>
    </row>
    <row r="37" spans="1:22" ht="15" customHeight="1">
      <c r="A37" s="72"/>
      <c r="B37" s="71" t="s">
        <v>511</v>
      </c>
      <c r="M37" s="144" t="s">
        <v>569</v>
      </c>
      <c r="N37" s="145"/>
      <c r="O37" s="145"/>
      <c r="P37" s="145"/>
      <c r="Q37" s="145"/>
      <c r="R37" s="145"/>
      <c r="S37" s="145"/>
      <c r="T37" s="145"/>
      <c r="U37" s="145"/>
      <c r="V37" s="74"/>
    </row>
    <row r="38" spans="1:22" ht="15" customHeight="1">
      <c r="A38" s="72"/>
      <c r="M38" s="144" t="s">
        <v>527</v>
      </c>
      <c r="N38" s="145"/>
      <c r="O38" s="145"/>
      <c r="P38" s="145"/>
      <c r="Q38" s="145"/>
      <c r="R38" s="145"/>
      <c r="S38" s="145"/>
      <c r="T38" s="145"/>
      <c r="U38" s="145"/>
      <c r="V38" s="74"/>
    </row>
    <row r="39" spans="1:22" ht="15" customHeight="1">
      <c r="A39" s="72"/>
      <c r="B39" s="144" t="s">
        <v>512</v>
      </c>
      <c r="C39" s="144"/>
      <c r="D39" s="144"/>
      <c r="E39" s="144"/>
      <c r="F39" s="144"/>
      <c r="G39" s="144"/>
      <c r="H39" s="144"/>
      <c r="I39" s="144"/>
      <c r="J39" s="144"/>
      <c r="K39" s="144"/>
      <c r="M39" s="144" t="s">
        <v>528</v>
      </c>
      <c r="N39" s="145"/>
      <c r="O39" s="145"/>
      <c r="P39" s="145"/>
      <c r="Q39" s="145"/>
      <c r="R39" s="145"/>
      <c r="S39" s="145"/>
      <c r="T39" s="145"/>
      <c r="U39" s="145"/>
      <c r="V39" s="74"/>
    </row>
    <row r="40" spans="1:22" ht="15" customHeight="1">
      <c r="A40" s="72"/>
      <c r="B40" s="144" t="s">
        <v>513</v>
      </c>
      <c r="C40" s="144"/>
      <c r="D40" s="144"/>
      <c r="E40" s="144"/>
      <c r="F40" s="144"/>
      <c r="G40" s="144"/>
      <c r="H40" s="144"/>
      <c r="I40" s="144"/>
      <c r="J40" s="144"/>
      <c r="K40" s="144"/>
      <c r="M40" s="71" t="s">
        <v>570</v>
      </c>
      <c r="V40" s="74"/>
    </row>
    <row r="41" spans="1:22">
      <c r="A41" s="72"/>
      <c r="B41" s="71" t="s">
        <v>514</v>
      </c>
      <c r="V41" s="74"/>
    </row>
    <row r="42" spans="1:22">
      <c r="A42" s="72"/>
      <c r="M42" s="71" t="s">
        <v>383</v>
      </c>
      <c r="V42" s="74"/>
    </row>
    <row r="43" spans="1:22">
      <c r="A43" s="72"/>
      <c r="B43" s="71" t="s">
        <v>350</v>
      </c>
      <c r="C43" s="146">
        <f>Máscara!C21</f>
        <v>44838</v>
      </c>
      <c r="D43" s="146"/>
      <c r="E43" s="146"/>
      <c r="V43" s="74"/>
    </row>
    <row r="44" spans="1:22" ht="15.75">
      <c r="A44" s="72"/>
      <c r="M44" s="144" t="s">
        <v>571</v>
      </c>
      <c r="N44" s="145"/>
      <c r="O44" s="145"/>
      <c r="P44" s="145"/>
      <c r="Q44" s="145"/>
      <c r="R44" s="145"/>
      <c r="S44" s="145"/>
      <c r="T44" s="145"/>
      <c r="U44" s="145"/>
      <c r="V44" s="74"/>
    </row>
    <row r="45" spans="1:22" ht="15" customHeight="1">
      <c r="A45" s="72"/>
      <c r="M45" s="144" t="s">
        <v>536</v>
      </c>
      <c r="N45" s="145"/>
      <c r="O45" s="145"/>
      <c r="P45" s="145"/>
      <c r="Q45" s="145"/>
      <c r="R45" s="145"/>
      <c r="S45" s="145"/>
      <c r="T45" s="145"/>
      <c r="U45" s="145"/>
      <c r="V45" s="74"/>
    </row>
    <row r="46" spans="1:22" ht="15" customHeight="1">
      <c r="A46" s="72"/>
      <c r="M46" s="144" t="s">
        <v>572</v>
      </c>
      <c r="N46" s="145"/>
      <c r="O46" s="145"/>
      <c r="P46" s="145"/>
      <c r="Q46" s="145"/>
      <c r="R46" s="145"/>
      <c r="S46" s="145"/>
      <c r="T46" s="145"/>
      <c r="U46" s="145"/>
      <c r="V46" s="74"/>
    </row>
    <row r="47" spans="1:22" ht="15" customHeight="1">
      <c r="A47" s="72"/>
      <c r="B47" s="148" t="s">
        <v>351</v>
      </c>
      <c r="C47" s="148"/>
      <c r="D47" s="148"/>
      <c r="E47" s="148"/>
      <c r="F47" s="148"/>
      <c r="H47" s="148" t="s">
        <v>352</v>
      </c>
      <c r="I47" s="148"/>
      <c r="J47" s="148"/>
      <c r="K47" s="148"/>
      <c r="M47" s="71" t="s">
        <v>532</v>
      </c>
      <c r="U47" s="80"/>
      <c r="V47" s="74"/>
    </row>
    <row r="48" spans="1:22">
      <c r="A48" s="72"/>
      <c r="H48" s="149" t="s">
        <v>353</v>
      </c>
      <c r="I48" s="149"/>
      <c r="J48" s="149"/>
      <c r="K48" s="149"/>
      <c r="V48" s="74"/>
    </row>
    <row r="49" spans="1:22">
      <c r="A49" s="78"/>
      <c r="B49" s="75"/>
      <c r="C49" s="75"/>
      <c r="D49" s="75"/>
      <c r="E49" s="75"/>
      <c r="F49" s="75"/>
      <c r="G49" s="75"/>
      <c r="H49" s="75"/>
      <c r="I49" s="75"/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75"/>
      <c r="V49" s="79"/>
    </row>
  </sheetData>
  <sheetProtection sheet="1" objects="1" scenarios="1"/>
  <mergeCells count="41">
    <mergeCell ref="H48:K48"/>
    <mergeCell ref="M37:U37"/>
    <mergeCell ref="M38:U38"/>
    <mergeCell ref="B39:K39"/>
    <mergeCell ref="M39:U39"/>
    <mergeCell ref="B40:K40"/>
    <mergeCell ref="C43:E43"/>
    <mergeCell ref="M44:U44"/>
    <mergeCell ref="M45:U45"/>
    <mergeCell ref="M46:U46"/>
    <mergeCell ref="B47:F47"/>
    <mergeCell ref="H47:K47"/>
    <mergeCell ref="B33:E33"/>
    <mergeCell ref="F33:G33"/>
    <mergeCell ref="B35:K35"/>
    <mergeCell ref="M35:U35"/>
    <mergeCell ref="B36:K36"/>
    <mergeCell ref="M36:U36"/>
    <mergeCell ref="B28:K28"/>
    <mergeCell ref="B29:K29"/>
    <mergeCell ref="M30:U30"/>
    <mergeCell ref="M31:U31"/>
    <mergeCell ref="B32:F32"/>
    <mergeCell ref="G32:H32"/>
    <mergeCell ref="I32:K32"/>
    <mergeCell ref="M32:U32"/>
    <mergeCell ref="B27:K27"/>
    <mergeCell ref="B5:K5"/>
    <mergeCell ref="B6:K6"/>
    <mergeCell ref="M6:U6"/>
    <mergeCell ref="B9:K9"/>
    <mergeCell ref="B18:K18"/>
    <mergeCell ref="B19:F19"/>
    <mergeCell ref="G19:H19"/>
    <mergeCell ref="I19:K19"/>
    <mergeCell ref="M19:U19"/>
    <mergeCell ref="M20:U20"/>
    <mergeCell ref="M23:U23"/>
    <mergeCell ref="M24:U24"/>
    <mergeCell ref="M25:U25"/>
    <mergeCell ref="B26:K26"/>
  </mergeCells>
  <pageMargins left="0.70866141732283472" right="0.70866141732283472" top="0.55118110236220474" bottom="0.55118110236220474" header="0.31496062992125984" footer="0.31496062992125984"/>
  <pageSetup paperSize="9" scale="64" fitToWidth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30CE2-F628-4037-8BED-9B5B40CF566B}">
  <sheetPr codeName="Planilha19">
    <pageSetUpPr fitToPage="1"/>
  </sheetPr>
  <dimension ref="A1:V53"/>
  <sheetViews>
    <sheetView showGridLines="0" topLeftCell="A12" zoomScaleNormal="100" workbookViewId="0">
      <selection activeCell="D22" sqref="D22"/>
    </sheetView>
  </sheetViews>
  <sheetFormatPr defaultRowHeight="15"/>
  <cols>
    <col min="1" max="1" width="3.7109375" style="71" customWidth="1"/>
    <col min="2" max="2" width="8.140625" style="71" customWidth="1"/>
    <col min="3" max="3" width="6" style="71" customWidth="1"/>
    <col min="4" max="4" width="12.7109375" style="71" customWidth="1"/>
    <col min="5" max="5" width="6.7109375" style="71" customWidth="1"/>
    <col min="6" max="6" width="5.85546875" style="71" customWidth="1"/>
    <col min="7" max="7" width="7.28515625" style="71" customWidth="1"/>
    <col min="8" max="10" width="9.140625" style="71"/>
    <col min="11" max="11" width="13.85546875" style="71" customWidth="1"/>
    <col min="12" max="12" width="9.7109375" style="71" customWidth="1"/>
    <col min="13" max="20" width="9.140625" style="71"/>
    <col min="21" max="21" width="10" style="71" customWidth="1"/>
    <col min="22" max="22" width="3.7109375" style="71" customWidth="1"/>
    <col min="23" max="16384" width="9.140625" style="71"/>
  </cols>
  <sheetData>
    <row r="1" spans="1:22">
      <c r="A1" s="68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70"/>
    </row>
    <row r="2" spans="1:22" ht="27">
      <c r="A2" s="72"/>
      <c r="B2" s="73" t="s">
        <v>330</v>
      </c>
      <c r="M2" s="73" t="s">
        <v>358</v>
      </c>
      <c r="V2" s="74"/>
    </row>
    <row r="3" spans="1:22" ht="27">
      <c r="A3" s="72"/>
      <c r="B3" s="73" t="s">
        <v>433</v>
      </c>
      <c r="V3" s="74"/>
    </row>
    <row r="4" spans="1:22">
      <c r="A4" s="72"/>
      <c r="M4" s="71" t="s">
        <v>442</v>
      </c>
      <c r="V4" s="74"/>
    </row>
    <row r="5" spans="1:22" ht="15" customHeight="1">
      <c r="A5" s="72"/>
      <c r="B5" s="144" t="s">
        <v>553</v>
      </c>
      <c r="C5" s="144"/>
      <c r="D5" s="144"/>
      <c r="E5" s="144"/>
      <c r="F5" s="144"/>
      <c r="G5" s="144"/>
      <c r="H5" s="144"/>
      <c r="I5" s="144"/>
      <c r="J5" s="144"/>
      <c r="K5" s="144"/>
      <c r="V5" s="74"/>
    </row>
    <row r="6" spans="1:22" ht="15" customHeight="1">
      <c r="A6" s="72"/>
      <c r="B6" s="144" t="s">
        <v>573</v>
      </c>
      <c r="C6" s="144"/>
      <c r="D6" s="144"/>
      <c r="E6" s="144"/>
      <c r="F6" s="144"/>
      <c r="G6" s="144"/>
      <c r="H6" s="144"/>
      <c r="I6" s="144"/>
      <c r="J6" s="144"/>
      <c r="K6" s="144"/>
      <c r="M6" s="144" t="s">
        <v>581</v>
      </c>
      <c r="N6" s="144"/>
      <c r="O6" s="144"/>
      <c r="P6" s="144"/>
      <c r="Q6" s="144"/>
      <c r="R6" s="144"/>
      <c r="S6" s="144"/>
      <c r="T6" s="144"/>
      <c r="U6" s="144"/>
      <c r="V6" s="74"/>
    </row>
    <row r="7" spans="1:22">
      <c r="A7" s="72"/>
      <c r="B7" s="71" t="s">
        <v>574</v>
      </c>
      <c r="M7" s="71" t="s">
        <v>545</v>
      </c>
      <c r="V7" s="74"/>
    </row>
    <row r="8" spans="1:22">
      <c r="A8" s="72"/>
      <c r="V8" s="74"/>
    </row>
    <row r="9" spans="1:22" ht="15" customHeight="1">
      <c r="A9" s="72"/>
      <c r="B9" s="144" t="s">
        <v>334</v>
      </c>
      <c r="C9" s="144"/>
      <c r="D9" s="144"/>
      <c r="E9" s="144"/>
      <c r="F9" s="144"/>
      <c r="G9" s="144"/>
      <c r="H9" s="144"/>
      <c r="I9" s="144"/>
      <c r="J9" s="144"/>
      <c r="K9" s="144"/>
      <c r="M9" s="71" t="s">
        <v>361</v>
      </c>
      <c r="V9" s="74"/>
    </row>
    <row r="10" spans="1:22">
      <c r="A10" s="72"/>
      <c r="B10" s="71" t="s">
        <v>335</v>
      </c>
      <c r="M10" s="71" t="s">
        <v>362</v>
      </c>
      <c r="V10" s="74"/>
    </row>
    <row r="11" spans="1:22">
      <c r="A11" s="72"/>
      <c r="B11" s="71" t="s">
        <v>332</v>
      </c>
      <c r="E11" s="75" t="str">
        <f>Máscara!M13</f>
        <v>Euro Import - Londrina</v>
      </c>
      <c r="F11" s="75"/>
      <c r="G11" s="75"/>
      <c r="H11" s="75"/>
      <c r="I11" s="75"/>
      <c r="J11" s="75"/>
      <c r="K11" s="75"/>
      <c r="M11" s="71" t="s">
        <v>363</v>
      </c>
      <c r="V11" s="74"/>
    </row>
    <row r="12" spans="1:22" ht="15" customHeight="1">
      <c r="A12" s="72"/>
      <c r="B12" s="71" t="s">
        <v>333</v>
      </c>
      <c r="D12" s="75" t="str">
        <f>Máscara!O8</f>
        <v>08.964.646/0001-09</v>
      </c>
      <c r="E12" s="75"/>
      <c r="F12" s="75"/>
      <c r="G12" s="75"/>
      <c r="H12" s="75"/>
      <c r="I12" s="75"/>
      <c r="J12" s="75"/>
      <c r="K12" s="75"/>
      <c r="M12" s="80" t="s">
        <v>516</v>
      </c>
      <c r="N12" s="80"/>
      <c r="O12" s="80"/>
      <c r="P12" s="80"/>
      <c r="Q12" s="80"/>
      <c r="R12" s="80"/>
      <c r="S12" s="80"/>
      <c r="T12" s="80"/>
      <c r="U12" s="80"/>
      <c r="V12" s="74"/>
    </row>
    <row r="13" spans="1:22">
      <c r="A13" s="72"/>
      <c r="B13" s="71" t="s">
        <v>336</v>
      </c>
      <c r="M13" s="71" t="s">
        <v>517</v>
      </c>
      <c r="V13" s="74"/>
    </row>
    <row r="14" spans="1:22">
      <c r="A14" s="72"/>
      <c r="B14" s="71" t="s">
        <v>337</v>
      </c>
      <c r="M14" s="71" t="s">
        <v>419</v>
      </c>
      <c r="V14" s="74"/>
    </row>
    <row r="15" spans="1:22">
      <c r="A15" s="72"/>
      <c r="B15" s="76" t="s">
        <v>332</v>
      </c>
      <c r="E15" s="75" t="str">
        <f>Máscara!C16</f>
        <v>ELAINE SILVA</v>
      </c>
      <c r="F15" s="75"/>
      <c r="G15" s="75"/>
      <c r="H15" s="75"/>
      <c r="I15" s="75"/>
      <c r="J15" s="75"/>
      <c r="K15" s="75"/>
      <c r="M15" s="71" t="s">
        <v>420</v>
      </c>
      <c r="V15" s="74"/>
    </row>
    <row r="16" spans="1:22">
      <c r="A16" s="72"/>
      <c r="B16" s="71" t="s">
        <v>338</v>
      </c>
      <c r="E16" s="77" t="str">
        <f>Máscara!E16</f>
        <v>123.456.789-00</v>
      </c>
      <c r="F16" s="77"/>
      <c r="G16" s="77"/>
      <c r="H16" s="77"/>
      <c r="I16" s="77"/>
      <c r="J16" s="77"/>
      <c r="K16" s="77"/>
      <c r="M16" s="71" t="s">
        <v>421</v>
      </c>
      <c r="V16" s="74"/>
    </row>
    <row r="17" spans="1:22">
      <c r="A17" s="72"/>
      <c r="M17" s="71" t="s">
        <v>422</v>
      </c>
      <c r="V17" s="74"/>
    </row>
    <row r="18" spans="1:22" ht="15" customHeight="1">
      <c r="A18" s="72"/>
      <c r="B18" s="144" t="s">
        <v>500</v>
      </c>
      <c r="C18" s="144"/>
      <c r="D18" s="144"/>
      <c r="E18" s="144"/>
      <c r="F18" s="144"/>
      <c r="G18" s="144"/>
      <c r="H18" s="144"/>
      <c r="I18" s="144"/>
      <c r="J18" s="144"/>
      <c r="K18" s="144"/>
      <c r="V18" s="74"/>
    </row>
    <row r="19" spans="1:22" ht="15" customHeight="1">
      <c r="A19" s="72"/>
      <c r="B19" s="144" t="s">
        <v>501</v>
      </c>
      <c r="C19" s="144"/>
      <c r="D19" s="144"/>
      <c r="E19" s="144"/>
      <c r="F19" s="144"/>
      <c r="G19" s="147" cm="1">
        <f t="array" ref="G19">Valor_a_pagar[VALOR A PAGAR]</f>
        <v>11321.234528644141</v>
      </c>
      <c r="H19" s="147"/>
      <c r="I19" s="144" t="s">
        <v>555</v>
      </c>
      <c r="J19" s="144"/>
      <c r="K19" s="144"/>
      <c r="M19" s="71" t="s">
        <v>582</v>
      </c>
      <c r="V19" s="74"/>
    </row>
    <row r="20" spans="1:22" ht="15" customHeight="1">
      <c r="A20" s="72"/>
      <c r="B20" s="71" t="s">
        <v>575</v>
      </c>
      <c r="V20" s="74"/>
    </row>
    <row r="21" spans="1:22" ht="15" customHeight="1">
      <c r="A21" s="72"/>
      <c r="M21" s="71" t="s">
        <v>367</v>
      </c>
      <c r="V21" s="74"/>
    </row>
    <row r="22" spans="1:22">
      <c r="A22" s="72"/>
      <c r="B22" s="71" t="s">
        <v>340</v>
      </c>
      <c r="D22" s="75" t="str">
        <f>Máscara!I13</f>
        <v>SÉRIE 3</v>
      </c>
      <c r="E22" s="75"/>
      <c r="F22" s="75"/>
      <c r="G22" s="75"/>
      <c r="H22" s="75"/>
      <c r="I22" s="75"/>
      <c r="J22" s="75"/>
      <c r="K22" s="75"/>
      <c r="V22" s="74"/>
    </row>
    <row r="23" spans="1:22">
      <c r="A23" s="72"/>
      <c r="B23" s="71" t="s">
        <v>341</v>
      </c>
      <c r="D23" s="77" t="str">
        <f>Máscara!G13</f>
        <v>2021/2022</v>
      </c>
      <c r="E23" s="77"/>
      <c r="F23" s="77"/>
      <c r="G23" s="77"/>
      <c r="H23" s="77"/>
      <c r="I23" s="77"/>
      <c r="J23" s="77"/>
      <c r="K23" s="77"/>
      <c r="M23" s="144" t="s">
        <v>546</v>
      </c>
      <c r="N23" s="144"/>
      <c r="O23" s="144"/>
      <c r="P23" s="144"/>
      <c r="Q23" s="144"/>
      <c r="R23" s="144"/>
      <c r="S23" s="144"/>
      <c r="T23" s="144"/>
      <c r="U23" s="144"/>
      <c r="V23" s="74"/>
    </row>
    <row r="24" spans="1:22" ht="15" customHeight="1">
      <c r="A24" s="72"/>
      <c r="B24" s="71" t="s">
        <v>342</v>
      </c>
      <c r="C24" s="75" t="str">
        <f>Máscara!C13</f>
        <v>9IJHFT6RES4A98765</v>
      </c>
      <c r="D24" s="75"/>
      <c r="E24" s="75"/>
      <c r="F24" s="75"/>
      <c r="G24" s="75"/>
      <c r="H24" s="75"/>
      <c r="I24" s="75"/>
      <c r="J24" s="75"/>
      <c r="K24" s="75"/>
      <c r="M24" s="144" t="s">
        <v>519</v>
      </c>
      <c r="N24" s="144"/>
      <c r="O24" s="144"/>
      <c r="P24" s="144"/>
      <c r="Q24" s="144"/>
      <c r="R24" s="144"/>
      <c r="S24" s="144"/>
      <c r="T24" s="144"/>
      <c r="U24" s="144"/>
      <c r="V24" s="74"/>
    </row>
    <row r="25" spans="1:22" ht="15" customHeight="1">
      <c r="A25" s="72"/>
      <c r="M25" s="71" t="s">
        <v>563</v>
      </c>
      <c r="N25" s="80"/>
      <c r="O25" s="80"/>
      <c r="P25" s="80"/>
      <c r="Q25" s="80"/>
      <c r="R25" s="80"/>
      <c r="S25" s="80"/>
      <c r="T25" s="80"/>
      <c r="U25" s="80"/>
      <c r="V25" s="74"/>
    </row>
    <row r="26" spans="1:22" ht="15" customHeight="1">
      <c r="A26" s="72"/>
      <c r="B26" s="144" t="s">
        <v>502</v>
      </c>
      <c r="C26" s="144"/>
      <c r="D26" s="144"/>
      <c r="E26" s="144"/>
      <c r="F26" s="144"/>
      <c r="G26" s="144"/>
      <c r="H26" s="144"/>
      <c r="I26" s="144"/>
      <c r="J26" s="144"/>
      <c r="K26" s="144"/>
      <c r="V26" s="74"/>
    </row>
    <row r="27" spans="1:22" ht="15" customHeight="1">
      <c r="A27" s="72"/>
      <c r="B27" s="144" t="s">
        <v>503</v>
      </c>
      <c r="C27" s="144"/>
      <c r="D27" s="144"/>
      <c r="E27" s="144"/>
      <c r="F27" s="144"/>
      <c r="G27" s="144"/>
      <c r="H27" s="144"/>
      <c r="I27" s="144"/>
      <c r="J27" s="144"/>
      <c r="K27" s="144"/>
      <c r="M27" s="144" t="s">
        <v>533</v>
      </c>
      <c r="N27" s="144"/>
      <c r="O27" s="144"/>
      <c r="P27" s="144"/>
      <c r="Q27" s="144"/>
      <c r="R27" s="144"/>
      <c r="S27" s="144"/>
      <c r="T27" s="144"/>
      <c r="U27" s="144"/>
      <c r="V27" s="74"/>
    </row>
    <row r="28" spans="1:22" ht="15.75">
      <c r="A28" s="72"/>
      <c r="B28" s="144" t="s">
        <v>577</v>
      </c>
      <c r="C28" s="145"/>
      <c r="D28" s="145"/>
      <c r="E28" s="145"/>
      <c r="F28" s="145"/>
      <c r="G28" s="145"/>
      <c r="H28" s="145"/>
      <c r="I28" s="145"/>
      <c r="J28" s="145"/>
      <c r="K28" s="145"/>
      <c r="M28" s="144" t="s">
        <v>534</v>
      </c>
      <c r="N28" s="144"/>
      <c r="O28" s="144"/>
      <c r="P28" s="144"/>
      <c r="Q28" s="144"/>
      <c r="R28" s="144"/>
      <c r="S28" s="144"/>
      <c r="T28" s="144"/>
      <c r="U28" s="144"/>
      <c r="V28" s="74"/>
    </row>
    <row r="29" spans="1:22" ht="15.75">
      <c r="A29" s="72"/>
      <c r="B29" s="144" t="s">
        <v>578</v>
      </c>
      <c r="C29" s="145"/>
      <c r="D29" s="145"/>
      <c r="E29" s="145"/>
      <c r="F29" s="145"/>
      <c r="G29" s="145"/>
      <c r="H29" s="145"/>
      <c r="I29" s="145"/>
      <c r="J29" s="145"/>
      <c r="K29" s="145"/>
      <c r="M29" s="144" t="s">
        <v>521</v>
      </c>
      <c r="N29" s="145"/>
      <c r="O29" s="145"/>
      <c r="P29" s="145"/>
      <c r="Q29" s="145"/>
      <c r="R29" s="145"/>
      <c r="S29" s="145"/>
      <c r="T29" s="145"/>
      <c r="U29" s="145"/>
      <c r="V29" s="74"/>
    </row>
    <row r="30" spans="1:22">
      <c r="A30" s="72"/>
      <c r="B30" s="71" t="s">
        <v>579</v>
      </c>
      <c r="M30" s="71" t="s">
        <v>583</v>
      </c>
      <c r="V30" s="74"/>
    </row>
    <row r="31" spans="1:22">
      <c r="A31" s="72"/>
      <c r="V31" s="74"/>
    </row>
    <row r="32" spans="1:22" ht="15" customHeight="1">
      <c r="A32" s="72"/>
      <c r="B32" s="144" t="s">
        <v>439</v>
      </c>
      <c r="C32" s="145"/>
      <c r="D32" s="145"/>
      <c r="E32" s="145"/>
      <c r="F32" s="145"/>
      <c r="G32" s="146">
        <f>Máscara!M16</f>
        <v>46083</v>
      </c>
      <c r="H32" s="146"/>
      <c r="I32" s="144" t="s">
        <v>507</v>
      </c>
      <c r="J32" s="144"/>
      <c r="K32" s="144"/>
      <c r="M32" s="71" t="s">
        <v>445</v>
      </c>
      <c r="V32" s="74"/>
    </row>
    <row r="33" spans="1:22" ht="15" customHeight="1">
      <c r="A33" s="72"/>
      <c r="B33" s="144" t="s">
        <v>508</v>
      </c>
      <c r="C33" s="144"/>
      <c r="D33" s="144"/>
      <c r="E33" s="144"/>
      <c r="F33" s="150">
        <f>Máscara!M19</f>
        <v>80000</v>
      </c>
      <c r="G33" s="150"/>
      <c r="H33" s="71" t="s">
        <v>345</v>
      </c>
      <c r="V33" s="74"/>
    </row>
    <row r="34" spans="1:22" ht="15.75">
      <c r="A34" s="72"/>
      <c r="M34" s="144" t="s">
        <v>584</v>
      </c>
      <c r="N34" s="145"/>
      <c r="O34" s="145"/>
      <c r="P34" s="145"/>
      <c r="Q34" s="145"/>
      <c r="R34" s="145"/>
      <c r="S34" s="145"/>
      <c r="T34" s="145"/>
      <c r="U34" s="145"/>
      <c r="V34" s="74"/>
    </row>
    <row r="35" spans="1:22" ht="15" customHeight="1">
      <c r="A35" s="72"/>
      <c r="B35" s="144" t="s">
        <v>509</v>
      </c>
      <c r="C35" s="144"/>
      <c r="D35" s="144"/>
      <c r="E35" s="144"/>
      <c r="F35" s="144"/>
      <c r="G35" s="144"/>
      <c r="H35" s="144"/>
      <c r="I35" s="144"/>
      <c r="J35" s="144"/>
      <c r="K35" s="144"/>
      <c r="M35" s="144" t="s">
        <v>524</v>
      </c>
      <c r="N35" s="145"/>
      <c r="O35" s="145"/>
      <c r="P35" s="145"/>
      <c r="Q35" s="145"/>
      <c r="R35" s="145"/>
      <c r="S35" s="145"/>
      <c r="T35" s="145"/>
      <c r="U35" s="145"/>
      <c r="V35" s="74"/>
    </row>
    <row r="36" spans="1:22" ht="15" customHeight="1">
      <c r="A36" s="72"/>
      <c r="B36" s="144" t="s">
        <v>580</v>
      </c>
      <c r="C36" s="144"/>
      <c r="D36" s="144"/>
      <c r="E36" s="144"/>
      <c r="F36" s="144"/>
      <c r="G36" s="144"/>
      <c r="H36" s="144"/>
      <c r="I36" s="144"/>
      <c r="J36" s="144"/>
      <c r="K36" s="144"/>
      <c r="M36" s="144" t="s">
        <v>566</v>
      </c>
      <c r="N36" s="145"/>
      <c r="O36" s="145"/>
      <c r="P36" s="145"/>
      <c r="Q36" s="145"/>
      <c r="R36" s="145"/>
      <c r="S36" s="145"/>
      <c r="T36" s="145"/>
      <c r="U36" s="145"/>
      <c r="V36" s="74"/>
    </row>
    <row r="37" spans="1:22" ht="15" customHeight="1">
      <c r="A37" s="72"/>
      <c r="B37" s="71" t="s">
        <v>511</v>
      </c>
      <c r="M37" s="71" t="s">
        <v>567</v>
      </c>
      <c r="U37" s="80"/>
      <c r="V37" s="74"/>
    </row>
    <row r="38" spans="1:22" ht="15" customHeight="1">
      <c r="A38" s="72"/>
      <c r="V38" s="74"/>
    </row>
    <row r="39" spans="1:22" ht="15" customHeight="1">
      <c r="A39" s="72"/>
      <c r="B39" s="144" t="s">
        <v>512</v>
      </c>
      <c r="C39" s="144"/>
      <c r="D39" s="144"/>
      <c r="E39" s="144"/>
      <c r="F39" s="144"/>
      <c r="G39" s="144"/>
      <c r="H39" s="144"/>
      <c r="I39" s="144"/>
      <c r="J39" s="144"/>
      <c r="K39" s="144"/>
      <c r="M39" s="144" t="s">
        <v>585</v>
      </c>
      <c r="N39" s="145"/>
      <c r="O39" s="145"/>
      <c r="P39" s="145"/>
      <c r="Q39" s="145"/>
      <c r="R39" s="145"/>
      <c r="S39" s="145"/>
      <c r="T39" s="145"/>
      <c r="U39" s="145"/>
      <c r="V39" s="74"/>
    </row>
    <row r="40" spans="1:22" ht="15" customHeight="1">
      <c r="A40" s="72"/>
      <c r="B40" s="144" t="s">
        <v>513</v>
      </c>
      <c r="C40" s="144"/>
      <c r="D40" s="144"/>
      <c r="E40" s="144"/>
      <c r="F40" s="144"/>
      <c r="G40" s="144"/>
      <c r="H40" s="144"/>
      <c r="I40" s="144"/>
      <c r="J40" s="144"/>
      <c r="K40" s="144"/>
      <c r="M40" s="144" t="s">
        <v>526</v>
      </c>
      <c r="N40" s="145"/>
      <c r="O40" s="145"/>
      <c r="P40" s="145"/>
      <c r="Q40" s="145"/>
      <c r="R40" s="145"/>
      <c r="S40" s="145"/>
      <c r="T40" s="145"/>
      <c r="U40" s="145"/>
      <c r="V40" s="74"/>
    </row>
    <row r="41" spans="1:22" ht="15.75">
      <c r="A41" s="72"/>
      <c r="B41" s="71" t="s">
        <v>514</v>
      </c>
      <c r="M41" s="144" t="s">
        <v>569</v>
      </c>
      <c r="N41" s="145"/>
      <c r="O41" s="145"/>
      <c r="P41" s="145"/>
      <c r="Q41" s="145"/>
      <c r="R41" s="145"/>
      <c r="S41" s="145"/>
      <c r="T41" s="145"/>
      <c r="U41" s="145"/>
      <c r="V41" s="74"/>
    </row>
    <row r="42" spans="1:22" ht="15.75">
      <c r="A42" s="72"/>
      <c r="M42" s="144" t="s">
        <v>527</v>
      </c>
      <c r="N42" s="145"/>
      <c r="O42" s="145"/>
      <c r="P42" s="145"/>
      <c r="Q42" s="145"/>
      <c r="R42" s="145"/>
      <c r="S42" s="145"/>
      <c r="T42" s="145"/>
      <c r="U42" s="145"/>
      <c r="V42" s="74"/>
    </row>
    <row r="43" spans="1:22" ht="15.75">
      <c r="A43" s="72"/>
      <c r="B43" s="71" t="s">
        <v>350</v>
      </c>
      <c r="C43" s="146">
        <f>Máscara!C21</f>
        <v>44838</v>
      </c>
      <c r="D43" s="146"/>
      <c r="E43" s="146"/>
      <c r="M43" s="144" t="s">
        <v>528</v>
      </c>
      <c r="N43" s="145"/>
      <c r="O43" s="145"/>
      <c r="P43" s="145"/>
      <c r="Q43" s="145"/>
      <c r="R43" s="145"/>
      <c r="S43" s="145"/>
      <c r="T43" s="145"/>
      <c r="U43" s="145"/>
      <c r="V43" s="74"/>
    </row>
    <row r="44" spans="1:22">
      <c r="A44" s="72"/>
      <c r="M44" s="71" t="s">
        <v>586</v>
      </c>
      <c r="V44" s="74"/>
    </row>
    <row r="45" spans="1:22" ht="15" customHeight="1">
      <c r="A45" s="72"/>
      <c r="V45" s="74"/>
    </row>
    <row r="46" spans="1:22" ht="15" customHeight="1">
      <c r="A46" s="72"/>
      <c r="M46" s="71" t="s">
        <v>383</v>
      </c>
      <c r="V46" s="74"/>
    </row>
    <row r="47" spans="1:22" ht="15" customHeight="1">
      <c r="A47" s="72"/>
      <c r="B47" s="148" t="s">
        <v>351</v>
      </c>
      <c r="C47" s="148"/>
      <c r="D47" s="148"/>
      <c r="E47" s="148"/>
      <c r="F47" s="148"/>
      <c r="H47" s="148" t="s">
        <v>352</v>
      </c>
      <c r="I47" s="148"/>
      <c r="J47" s="148"/>
      <c r="K47" s="148"/>
      <c r="V47" s="74"/>
    </row>
    <row r="48" spans="1:22" ht="15.75">
      <c r="A48" s="72"/>
      <c r="H48" s="149" t="s">
        <v>353</v>
      </c>
      <c r="I48" s="149"/>
      <c r="J48" s="149"/>
      <c r="K48" s="149"/>
      <c r="M48" s="144" t="s">
        <v>587</v>
      </c>
      <c r="N48" s="145"/>
      <c r="O48" s="145"/>
      <c r="P48" s="145"/>
      <c r="Q48" s="145"/>
      <c r="R48" s="145"/>
      <c r="S48" s="145"/>
      <c r="T48" s="145"/>
      <c r="U48" s="145"/>
      <c r="V48" s="74"/>
    </row>
    <row r="49" spans="1:22" ht="15.75">
      <c r="M49" s="144" t="s">
        <v>536</v>
      </c>
      <c r="N49" s="145"/>
      <c r="O49" s="145"/>
      <c r="P49" s="145"/>
      <c r="Q49" s="145"/>
      <c r="R49" s="145"/>
      <c r="S49" s="145"/>
      <c r="T49" s="145"/>
      <c r="U49" s="145"/>
      <c r="V49" s="74"/>
    </row>
    <row r="50" spans="1:22" ht="15.75">
      <c r="M50" s="144" t="s">
        <v>588</v>
      </c>
      <c r="N50" s="145"/>
      <c r="O50" s="145"/>
      <c r="P50" s="145"/>
      <c r="Q50" s="145"/>
      <c r="R50" s="145"/>
      <c r="S50" s="145"/>
      <c r="T50" s="145"/>
      <c r="U50" s="145"/>
      <c r="V50" s="74"/>
    </row>
    <row r="51" spans="1:22">
      <c r="M51" s="71" t="s">
        <v>532</v>
      </c>
      <c r="U51" s="80"/>
      <c r="V51" s="74"/>
    </row>
    <row r="52" spans="1:22">
      <c r="A52" s="72"/>
      <c r="V52" s="74"/>
    </row>
    <row r="53" spans="1:22">
      <c r="A53" s="78"/>
      <c r="B53" s="75"/>
      <c r="C53" s="75"/>
      <c r="D53" s="75"/>
      <c r="E53" s="75"/>
      <c r="F53" s="75"/>
      <c r="G53" s="75"/>
      <c r="H53" s="75"/>
      <c r="I53" s="75"/>
      <c r="J53" s="75"/>
      <c r="K53" s="75"/>
      <c r="L53" s="75"/>
      <c r="M53" s="75"/>
      <c r="N53" s="75"/>
      <c r="O53" s="75"/>
      <c r="P53" s="75"/>
      <c r="Q53" s="75"/>
      <c r="R53" s="75"/>
      <c r="S53" s="75"/>
      <c r="T53" s="75"/>
      <c r="U53" s="75"/>
      <c r="V53" s="79"/>
    </row>
  </sheetData>
  <sheetProtection sheet="1" objects="1" scenarios="1"/>
  <mergeCells count="41">
    <mergeCell ref="M50:U50"/>
    <mergeCell ref="B40:K40"/>
    <mergeCell ref="M40:U40"/>
    <mergeCell ref="M41:U41"/>
    <mergeCell ref="M42:U42"/>
    <mergeCell ref="C43:E43"/>
    <mergeCell ref="M43:U43"/>
    <mergeCell ref="B47:F47"/>
    <mergeCell ref="H47:K47"/>
    <mergeCell ref="H48:K48"/>
    <mergeCell ref="M48:U48"/>
    <mergeCell ref="M49:U49"/>
    <mergeCell ref="B39:K39"/>
    <mergeCell ref="M39:U39"/>
    <mergeCell ref="B29:K29"/>
    <mergeCell ref="M29:U29"/>
    <mergeCell ref="B32:F32"/>
    <mergeCell ref="G32:H32"/>
    <mergeCell ref="I32:K32"/>
    <mergeCell ref="B33:E33"/>
    <mergeCell ref="F33:G33"/>
    <mergeCell ref="M34:U34"/>
    <mergeCell ref="B35:K35"/>
    <mergeCell ref="M35:U35"/>
    <mergeCell ref="B36:K36"/>
    <mergeCell ref="M36:U36"/>
    <mergeCell ref="B28:K28"/>
    <mergeCell ref="M28:U28"/>
    <mergeCell ref="B5:K5"/>
    <mergeCell ref="B6:K6"/>
    <mergeCell ref="M6:U6"/>
    <mergeCell ref="B9:K9"/>
    <mergeCell ref="B18:K18"/>
    <mergeCell ref="B19:F19"/>
    <mergeCell ref="G19:H19"/>
    <mergeCell ref="I19:K19"/>
    <mergeCell ref="M23:U23"/>
    <mergeCell ref="M24:U24"/>
    <mergeCell ref="B26:K26"/>
    <mergeCell ref="B27:K27"/>
    <mergeCell ref="M27:U27"/>
  </mergeCells>
  <pageMargins left="0.70866141732283472" right="0.70866141732283472" top="0.55118110236220474" bottom="0.55118110236220474" header="0.31496062992125984" footer="0.31496062992125984"/>
  <pageSetup paperSize="9" scale="64" fitToWidth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E6F3A-2C1F-4B57-BA5F-AF1D41C744E8}">
  <sheetPr codeName="Planilha16">
    <pageSetUpPr fitToPage="1"/>
  </sheetPr>
  <dimension ref="A1:V48"/>
  <sheetViews>
    <sheetView showGridLines="0" topLeftCell="A2" workbookViewId="0">
      <selection activeCell="L2" sqref="L2"/>
    </sheetView>
  </sheetViews>
  <sheetFormatPr defaultRowHeight="15"/>
  <cols>
    <col min="1" max="1" width="3.7109375" style="30" customWidth="1"/>
    <col min="2" max="2" width="8.140625" style="30" customWidth="1"/>
    <col min="3" max="3" width="3.42578125" style="30" customWidth="1"/>
    <col min="4" max="4" width="10.7109375" style="30" customWidth="1"/>
    <col min="5" max="5" width="6.7109375" style="30" customWidth="1"/>
    <col min="6" max="6" width="9.140625" style="30"/>
    <col min="7" max="7" width="7.28515625" style="30" customWidth="1"/>
    <col min="8" max="10" width="9.140625" style="30"/>
    <col min="11" max="11" width="11.5703125" style="30" customWidth="1"/>
    <col min="12" max="12" width="9.7109375" style="30" customWidth="1"/>
    <col min="13" max="21" width="9.140625" style="30"/>
    <col min="22" max="22" width="3.7109375" style="30" customWidth="1"/>
    <col min="23" max="16384" width="9.140625" style="30"/>
  </cols>
  <sheetData>
    <row r="1" spans="1:22">
      <c r="A1" s="44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45"/>
    </row>
    <row r="2" spans="1:22" ht="27">
      <c r="A2" s="46"/>
      <c r="B2" s="47" t="s">
        <v>330</v>
      </c>
      <c r="M2" s="47" t="s">
        <v>358</v>
      </c>
      <c r="V2" s="48"/>
    </row>
    <row r="3" spans="1:22" ht="27">
      <c r="A3" s="46"/>
      <c r="B3" s="47" t="s">
        <v>451</v>
      </c>
      <c r="V3" s="48"/>
    </row>
    <row r="4" spans="1:22">
      <c r="A4" s="46"/>
      <c r="M4" s="30" t="s">
        <v>459</v>
      </c>
      <c r="V4" s="48"/>
    </row>
    <row r="5" spans="1:22">
      <c r="A5" s="46"/>
      <c r="B5" s="151" t="s">
        <v>434</v>
      </c>
      <c r="C5" s="151"/>
      <c r="D5" s="151"/>
      <c r="E5" s="151"/>
      <c r="F5" s="151"/>
      <c r="G5" s="151"/>
      <c r="H5" s="151"/>
      <c r="I5" s="151"/>
      <c r="J5" s="151"/>
      <c r="K5" s="151"/>
      <c r="V5" s="48"/>
    </row>
    <row r="6" spans="1:22">
      <c r="A6" s="46"/>
      <c r="B6" s="151" t="s">
        <v>452</v>
      </c>
      <c r="C6" s="151"/>
      <c r="D6" s="151"/>
      <c r="E6" s="151"/>
      <c r="F6" s="151"/>
      <c r="G6" s="151"/>
      <c r="H6" s="151"/>
      <c r="I6" s="151"/>
      <c r="J6" s="151"/>
      <c r="K6" s="151"/>
      <c r="M6" s="151" t="s">
        <v>460</v>
      </c>
      <c r="N6" s="151"/>
      <c r="O6" s="151"/>
      <c r="P6" s="151"/>
      <c r="Q6" s="151"/>
      <c r="R6" s="151"/>
      <c r="S6" s="151"/>
      <c r="T6" s="151"/>
      <c r="U6" s="151"/>
      <c r="V6" s="48"/>
    </row>
    <row r="7" spans="1:22">
      <c r="A7" s="46"/>
      <c r="B7" s="30" t="s">
        <v>355</v>
      </c>
      <c r="M7" s="30" t="s">
        <v>359</v>
      </c>
      <c r="V7" s="48"/>
    </row>
    <row r="8" spans="1:22">
      <c r="A8" s="46"/>
      <c r="V8" s="48"/>
    </row>
    <row r="9" spans="1:22">
      <c r="A9" s="46"/>
      <c r="B9" s="152" t="s">
        <v>334</v>
      </c>
      <c r="C9" s="152"/>
      <c r="D9" s="152"/>
      <c r="E9" s="152"/>
      <c r="F9" s="152"/>
      <c r="G9" s="152"/>
      <c r="H9" s="152"/>
      <c r="I9" s="152"/>
      <c r="J9" s="152"/>
      <c r="K9" s="152"/>
      <c r="M9" s="30" t="s">
        <v>361</v>
      </c>
      <c r="V9" s="48"/>
    </row>
    <row r="10" spans="1:22">
      <c r="A10" s="46"/>
      <c r="B10" s="30" t="s">
        <v>335</v>
      </c>
      <c r="M10" s="30" t="s">
        <v>362</v>
      </c>
      <c r="V10" s="48"/>
    </row>
    <row r="11" spans="1:22">
      <c r="A11" s="46"/>
      <c r="B11" s="30" t="s">
        <v>332</v>
      </c>
      <c r="E11" s="33" t="str">
        <f>Máscara!M13</f>
        <v>Euro Import - Londrina</v>
      </c>
      <c r="F11" s="33"/>
      <c r="G11" s="33"/>
      <c r="H11" s="33"/>
      <c r="I11" s="33"/>
      <c r="J11" s="33"/>
      <c r="K11" s="33"/>
      <c r="M11" s="30" t="s">
        <v>363</v>
      </c>
      <c r="V11" s="48"/>
    </row>
    <row r="12" spans="1:22">
      <c r="A12" s="46"/>
      <c r="B12" s="30" t="s">
        <v>333</v>
      </c>
      <c r="D12" s="33" t="str">
        <f>Máscara!O8</f>
        <v>08.964.646/0001-09</v>
      </c>
      <c r="E12" s="33"/>
      <c r="F12" s="33"/>
      <c r="G12" s="33"/>
      <c r="H12" s="33"/>
      <c r="I12" s="33"/>
      <c r="J12" s="33"/>
      <c r="K12" s="33"/>
      <c r="M12" s="151" t="s">
        <v>364</v>
      </c>
      <c r="N12" s="151"/>
      <c r="O12" s="151"/>
      <c r="P12" s="151"/>
      <c r="Q12" s="151"/>
      <c r="R12" s="151"/>
      <c r="S12" s="151"/>
      <c r="T12" s="151"/>
      <c r="U12" s="151"/>
      <c r="V12" s="48"/>
    </row>
    <row r="13" spans="1:22">
      <c r="A13" s="46"/>
      <c r="B13" s="30" t="s">
        <v>336</v>
      </c>
      <c r="M13" s="30" t="s">
        <v>365</v>
      </c>
      <c r="V13" s="48"/>
    </row>
    <row r="14" spans="1:22">
      <c r="A14" s="46"/>
      <c r="B14" s="30" t="s">
        <v>337</v>
      </c>
      <c r="V14" s="48"/>
    </row>
    <row r="15" spans="1:22">
      <c r="A15" s="46"/>
      <c r="B15" s="49" t="s">
        <v>332</v>
      </c>
      <c r="E15" s="33" t="str">
        <f>Máscara!C16</f>
        <v>ELAINE SILVA</v>
      </c>
      <c r="F15" s="33"/>
      <c r="G15" s="33"/>
      <c r="H15" s="33"/>
      <c r="I15" s="33"/>
      <c r="J15" s="33"/>
      <c r="K15" s="33"/>
      <c r="V15" s="48"/>
    </row>
    <row r="16" spans="1:22">
      <c r="A16" s="46"/>
      <c r="B16" s="30" t="s">
        <v>338</v>
      </c>
      <c r="E16" s="34" t="str">
        <f>Máscara!E16</f>
        <v>123.456.789-00</v>
      </c>
      <c r="F16" s="34"/>
      <c r="G16" s="34"/>
      <c r="H16" s="34"/>
      <c r="I16" s="34"/>
      <c r="J16" s="34"/>
      <c r="K16" s="34"/>
      <c r="M16" s="30" t="s">
        <v>461</v>
      </c>
      <c r="V16" s="48"/>
    </row>
    <row r="17" spans="1:22">
      <c r="A17" s="46"/>
      <c r="V17" s="48"/>
    </row>
    <row r="18" spans="1:22">
      <c r="A18" s="46"/>
      <c r="B18" s="151" t="s">
        <v>339</v>
      </c>
      <c r="C18" s="151"/>
      <c r="D18" s="151"/>
      <c r="E18" s="151"/>
      <c r="F18" s="151"/>
      <c r="G18" s="151"/>
      <c r="H18" s="151"/>
      <c r="I18" s="151"/>
      <c r="J18" s="151"/>
      <c r="K18" s="151"/>
      <c r="M18" s="30" t="s">
        <v>367</v>
      </c>
      <c r="V18" s="48"/>
    </row>
    <row r="19" spans="1:22">
      <c r="A19" s="46"/>
      <c r="B19" s="151" t="s">
        <v>389</v>
      </c>
      <c r="C19" s="151"/>
      <c r="D19" s="151"/>
      <c r="E19" s="153" cm="1">
        <f t="array" ref="E19">Valor_a_pagar[VALOR A PAGAR]</f>
        <v>11321.234528644141</v>
      </c>
      <c r="F19" s="153"/>
      <c r="G19" s="151" t="s">
        <v>436</v>
      </c>
      <c r="H19" s="151"/>
      <c r="I19" s="151"/>
      <c r="J19" s="151"/>
      <c r="K19" s="151"/>
      <c r="V19" s="48"/>
    </row>
    <row r="20" spans="1:22">
      <c r="A20" s="46"/>
      <c r="B20" s="30" t="s">
        <v>453</v>
      </c>
      <c r="M20" s="151" t="s">
        <v>368</v>
      </c>
      <c r="N20" s="151"/>
      <c r="O20" s="151"/>
      <c r="P20" s="151"/>
      <c r="Q20" s="151"/>
      <c r="R20" s="151"/>
      <c r="S20" s="151"/>
      <c r="T20" s="151"/>
      <c r="U20" s="151"/>
      <c r="V20" s="48"/>
    </row>
    <row r="21" spans="1:22">
      <c r="A21" s="46"/>
      <c r="M21" s="151" t="s">
        <v>462</v>
      </c>
      <c r="N21" s="151"/>
      <c r="O21" s="151"/>
      <c r="P21" s="151"/>
      <c r="Q21" s="151"/>
      <c r="R21" s="151"/>
      <c r="S21" s="151"/>
      <c r="T21" s="151"/>
      <c r="U21" s="151"/>
      <c r="V21" s="48"/>
    </row>
    <row r="22" spans="1:22">
      <c r="A22" s="46"/>
      <c r="B22" s="30" t="s">
        <v>340</v>
      </c>
      <c r="C22" s="33" t="str">
        <f>Máscara!I13</f>
        <v>SÉRIE 3</v>
      </c>
      <c r="D22" s="33"/>
      <c r="E22" s="33"/>
      <c r="F22" s="33"/>
      <c r="G22" s="33"/>
      <c r="H22" s="33"/>
      <c r="I22" s="33"/>
      <c r="J22" s="33"/>
      <c r="K22" s="33"/>
      <c r="M22" s="30" t="s">
        <v>370</v>
      </c>
      <c r="V22" s="48"/>
    </row>
    <row r="23" spans="1:22">
      <c r="A23" s="46"/>
      <c r="B23" s="30" t="s">
        <v>341</v>
      </c>
      <c r="D23" s="34" t="str">
        <f>Máscara!G13</f>
        <v>2021/2022</v>
      </c>
      <c r="E23" s="34"/>
      <c r="F23" s="34"/>
      <c r="G23" s="34"/>
      <c r="H23" s="34"/>
      <c r="I23" s="34"/>
      <c r="J23" s="34"/>
      <c r="K23" s="34"/>
      <c r="V23" s="48"/>
    </row>
    <row r="24" spans="1:22">
      <c r="A24" s="46"/>
      <c r="B24" s="30" t="s">
        <v>342</v>
      </c>
      <c r="C24" s="33" t="str">
        <f>Máscara!C13</f>
        <v>9IJHFT6RES4A98765</v>
      </c>
      <c r="D24" s="33"/>
      <c r="E24" s="33"/>
      <c r="F24" s="33"/>
      <c r="G24" s="33"/>
      <c r="H24" s="33"/>
      <c r="I24" s="33"/>
      <c r="J24" s="33"/>
      <c r="K24" s="33"/>
      <c r="M24" s="151" t="s">
        <v>371</v>
      </c>
      <c r="N24" s="151"/>
      <c r="O24" s="151"/>
      <c r="P24" s="151"/>
      <c r="Q24" s="151"/>
      <c r="R24" s="151"/>
      <c r="S24" s="151"/>
      <c r="T24" s="151"/>
      <c r="U24" s="151"/>
      <c r="V24" s="48"/>
    </row>
    <row r="25" spans="1:22">
      <c r="A25" s="46"/>
      <c r="M25" s="151" t="s">
        <v>372</v>
      </c>
      <c r="N25" s="151"/>
      <c r="O25" s="151"/>
      <c r="P25" s="151"/>
      <c r="Q25" s="151"/>
      <c r="R25" s="151"/>
      <c r="S25" s="151"/>
      <c r="T25" s="151"/>
      <c r="U25" s="151"/>
      <c r="V25" s="48"/>
    </row>
    <row r="26" spans="1:22">
      <c r="A26" s="46"/>
      <c r="B26" s="151" t="s">
        <v>343</v>
      </c>
      <c r="C26" s="151"/>
      <c r="D26" s="151"/>
      <c r="E26" s="151"/>
      <c r="F26" s="151"/>
      <c r="G26" s="151"/>
      <c r="H26" s="151"/>
      <c r="I26" s="151"/>
      <c r="J26" s="151"/>
      <c r="K26" s="151"/>
      <c r="M26" s="30" t="s">
        <v>463</v>
      </c>
      <c r="V26" s="48"/>
    </row>
    <row r="27" spans="1:22">
      <c r="A27" s="46"/>
      <c r="B27" s="151" t="s">
        <v>344</v>
      </c>
      <c r="C27" s="151"/>
      <c r="D27" s="151"/>
      <c r="E27" s="151"/>
      <c r="F27" s="151"/>
      <c r="G27" s="151"/>
      <c r="H27" s="151"/>
      <c r="I27" s="151"/>
      <c r="J27" s="151"/>
      <c r="K27" s="151"/>
      <c r="V27" s="48"/>
    </row>
    <row r="28" spans="1:22">
      <c r="A28" s="46"/>
      <c r="B28" s="30" t="s">
        <v>454</v>
      </c>
      <c r="V28" s="48"/>
    </row>
    <row r="29" spans="1:22">
      <c r="A29" s="46"/>
      <c r="B29" s="30" t="s">
        <v>455</v>
      </c>
      <c r="M29" s="30" t="s">
        <v>464</v>
      </c>
      <c r="V29" s="48"/>
    </row>
    <row r="30" spans="1:22">
      <c r="A30" s="46"/>
      <c r="V30" s="48"/>
    </row>
    <row r="31" spans="1:22">
      <c r="A31" s="46"/>
      <c r="B31" s="30" t="s">
        <v>456</v>
      </c>
      <c r="F31" s="154">
        <f>Máscara!M16</f>
        <v>46083</v>
      </c>
      <c r="G31" s="154"/>
      <c r="H31" s="151" t="s">
        <v>360</v>
      </c>
      <c r="I31" s="151"/>
      <c r="J31" s="151"/>
      <c r="K31" s="151"/>
      <c r="M31" s="151" t="s">
        <v>465</v>
      </c>
      <c r="N31" s="151"/>
      <c r="O31" s="151"/>
      <c r="P31" s="151"/>
      <c r="Q31" s="151"/>
      <c r="R31" s="151"/>
      <c r="S31" s="151"/>
      <c r="T31" s="151"/>
      <c r="U31" s="151"/>
      <c r="V31" s="48"/>
    </row>
    <row r="32" spans="1:22">
      <c r="A32" s="46"/>
      <c r="B32" s="30" t="s">
        <v>357</v>
      </c>
      <c r="D32" s="155">
        <f>Máscara!M19</f>
        <v>80000</v>
      </c>
      <c r="E32" s="156"/>
      <c r="F32" s="30" t="s">
        <v>345</v>
      </c>
      <c r="M32" s="151" t="s">
        <v>376</v>
      </c>
      <c r="N32" s="151"/>
      <c r="O32" s="151"/>
      <c r="P32" s="151"/>
      <c r="Q32" s="151"/>
      <c r="R32" s="151"/>
      <c r="S32" s="151"/>
      <c r="T32" s="151"/>
      <c r="U32" s="151"/>
      <c r="V32" s="48"/>
    </row>
    <row r="33" spans="1:22">
      <c r="A33" s="46"/>
      <c r="M33" s="30" t="s">
        <v>377</v>
      </c>
      <c r="V33" s="48"/>
    </row>
    <row r="34" spans="1:22">
      <c r="A34" s="46"/>
      <c r="B34" s="151" t="s">
        <v>346</v>
      </c>
      <c r="C34" s="151"/>
      <c r="D34" s="151"/>
      <c r="E34" s="151"/>
      <c r="F34" s="151"/>
      <c r="G34" s="151"/>
      <c r="H34" s="151"/>
      <c r="I34" s="151"/>
      <c r="J34" s="151"/>
      <c r="K34" s="151"/>
      <c r="V34" s="48"/>
    </row>
    <row r="35" spans="1:22">
      <c r="A35" s="46"/>
      <c r="B35" s="151" t="s">
        <v>457</v>
      </c>
      <c r="C35" s="151"/>
      <c r="D35" s="151"/>
      <c r="E35" s="151"/>
      <c r="F35" s="151"/>
      <c r="G35" s="151"/>
      <c r="H35" s="151"/>
      <c r="I35" s="151"/>
      <c r="J35" s="151"/>
      <c r="K35" s="151"/>
      <c r="M35" s="151" t="s">
        <v>466</v>
      </c>
      <c r="N35" s="151"/>
      <c r="O35" s="151"/>
      <c r="P35" s="151"/>
      <c r="Q35" s="151"/>
      <c r="R35" s="151"/>
      <c r="S35" s="151"/>
      <c r="T35" s="151"/>
      <c r="U35" s="151"/>
      <c r="V35" s="48"/>
    </row>
    <row r="36" spans="1:22">
      <c r="A36" s="46"/>
      <c r="B36" s="30" t="s">
        <v>458</v>
      </c>
      <c r="M36" s="151" t="s">
        <v>379</v>
      </c>
      <c r="N36" s="151"/>
      <c r="O36" s="151"/>
      <c r="P36" s="151"/>
      <c r="Q36" s="151"/>
      <c r="R36" s="151"/>
      <c r="S36" s="151"/>
      <c r="T36" s="151"/>
      <c r="U36" s="151"/>
      <c r="V36" s="48"/>
    </row>
    <row r="37" spans="1:22">
      <c r="A37" s="46"/>
      <c r="M37" s="151" t="s">
        <v>380</v>
      </c>
      <c r="N37" s="151"/>
      <c r="O37" s="151"/>
      <c r="P37" s="151"/>
      <c r="Q37" s="151"/>
      <c r="R37" s="151"/>
      <c r="S37" s="151"/>
      <c r="T37" s="151"/>
      <c r="U37" s="151"/>
      <c r="V37" s="48"/>
    </row>
    <row r="38" spans="1:22">
      <c r="A38" s="46"/>
      <c r="B38" s="151" t="s">
        <v>347</v>
      </c>
      <c r="C38" s="151"/>
      <c r="D38" s="151"/>
      <c r="E38" s="151"/>
      <c r="F38" s="151"/>
      <c r="G38" s="151"/>
      <c r="H38" s="151"/>
      <c r="I38" s="151"/>
      <c r="J38" s="151"/>
      <c r="K38" s="151"/>
      <c r="M38" s="151" t="s">
        <v>381</v>
      </c>
      <c r="N38" s="151"/>
      <c r="O38" s="151"/>
      <c r="P38" s="151"/>
      <c r="Q38" s="151"/>
      <c r="R38" s="151"/>
      <c r="S38" s="151"/>
      <c r="T38" s="151"/>
      <c r="U38" s="151"/>
      <c r="V38" s="48"/>
    </row>
    <row r="39" spans="1:22">
      <c r="A39" s="46"/>
      <c r="B39" s="151" t="s">
        <v>348</v>
      </c>
      <c r="C39" s="151"/>
      <c r="D39" s="151"/>
      <c r="E39" s="151"/>
      <c r="F39" s="151"/>
      <c r="G39" s="151"/>
      <c r="H39" s="151"/>
      <c r="I39" s="151"/>
      <c r="J39" s="151"/>
      <c r="K39" s="151"/>
      <c r="M39" s="30" t="s">
        <v>467</v>
      </c>
      <c r="V39" s="48"/>
    </row>
    <row r="40" spans="1:22">
      <c r="A40" s="46"/>
      <c r="B40" s="30" t="s">
        <v>349</v>
      </c>
      <c r="V40" s="48"/>
    </row>
    <row r="41" spans="1:22">
      <c r="A41" s="46"/>
      <c r="V41" s="48"/>
    </row>
    <row r="42" spans="1:22">
      <c r="A42" s="46"/>
      <c r="B42" s="30" t="s">
        <v>350</v>
      </c>
      <c r="C42" s="154">
        <f>Máscara!C21</f>
        <v>44838</v>
      </c>
      <c r="D42" s="154"/>
      <c r="E42" s="154"/>
      <c r="M42" s="30" t="s">
        <v>383</v>
      </c>
      <c r="V42" s="48"/>
    </row>
    <row r="43" spans="1:22">
      <c r="A43" s="46"/>
      <c r="V43" s="48"/>
    </row>
    <row r="44" spans="1:22">
      <c r="A44" s="46"/>
      <c r="M44" s="151" t="s">
        <v>468</v>
      </c>
      <c r="N44" s="151"/>
      <c r="O44" s="151"/>
      <c r="P44" s="151"/>
      <c r="Q44" s="151"/>
      <c r="R44" s="151"/>
      <c r="S44" s="151"/>
      <c r="T44" s="151"/>
      <c r="U44" s="151"/>
      <c r="V44" s="48"/>
    </row>
    <row r="45" spans="1:22">
      <c r="A45" s="46"/>
      <c r="M45" s="151" t="s">
        <v>469</v>
      </c>
      <c r="N45" s="151"/>
      <c r="O45" s="151"/>
      <c r="P45" s="151"/>
      <c r="Q45" s="151"/>
      <c r="R45" s="151"/>
      <c r="S45" s="151"/>
      <c r="T45" s="151"/>
      <c r="U45" s="151"/>
      <c r="V45" s="48"/>
    </row>
    <row r="46" spans="1:22">
      <c r="A46" s="46"/>
      <c r="B46" s="31" t="s">
        <v>351</v>
      </c>
      <c r="C46" s="31"/>
      <c r="D46" s="31"/>
      <c r="E46" s="31"/>
      <c r="F46" s="31"/>
      <c r="H46" s="32" t="s">
        <v>352</v>
      </c>
      <c r="I46" s="31"/>
      <c r="J46" s="31"/>
      <c r="K46" s="31"/>
      <c r="M46" s="151" t="s">
        <v>386</v>
      </c>
      <c r="N46" s="151"/>
      <c r="O46" s="151"/>
      <c r="P46" s="151"/>
      <c r="Q46" s="151"/>
      <c r="R46" s="151"/>
      <c r="S46" s="151"/>
      <c r="T46" s="151"/>
      <c r="U46" s="151"/>
      <c r="V46" s="48"/>
    </row>
    <row r="47" spans="1:22">
      <c r="A47" s="46"/>
      <c r="H47" s="50" t="s">
        <v>353</v>
      </c>
      <c r="M47" s="30" t="s">
        <v>470</v>
      </c>
      <c r="V47" s="48"/>
    </row>
    <row r="48" spans="1:22">
      <c r="A48" s="51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52"/>
    </row>
  </sheetData>
  <sheetProtection sheet="1" objects="1" scenarios="1"/>
  <mergeCells count="32">
    <mergeCell ref="M45:U45"/>
    <mergeCell ref="M46:U46"/>
    <mergeCell ref="M37:U37"/>
    <mergeCell ref="B38:K38"/>
    <mergeCell ref="M38:U38"/>
    <mergeCell ref="B39:K39"/>
    <mergeCell ref="C42:E42"/>
    <mergeCell ref="M44:U44"/>
    <mergeCell ref="M36:U36"/>
    <mergeCell ref="M25:U25"/>
    <mergeCell ref="B26:K26"/>
    <mergeCell ref="B27:K27"/>
    <mergeCell ref="F31:G31"/>
    <mergeCell ref="H31:K31"/>
    <mergeCell ref="M31:U31"/>
    <mergeCell ref="D32:E32"/>
    <mergeCell ref="M32:U32"/>
    <mergeCell ref="B34:K34"/>
    <mergeCell ref="B35:K35"/>
    <mergeCell ref="M35:U35"/>
    <mergeCell ref="M24:U24"/>
    <mergeCell ref="B5:K5"/>
    <mergeCell ref="B6:K6"/>
    <mergeCell ref="M6:U6"/>
    <mergeCell ref="B9:K9"/>
    <mergeCell ref="M12:U12"/>
    <mergeCell ref="B18:K18"/>
    <mergeCell ref="B19:D19"/>
    <mergeCell ref="E19:F19"/>
    <mergeCell ref="G19:K19"/>
    <mergeCell ref="M20:U20"/>
    <mergeCell ref="M21:U21"/>
  </mergeCells>
  <pageMargins left="0.70866141732283472" right="0.70866141732283472" top="0.55118110236220474" bottom="0.55118110236220474" header="0.31496062992125984" footer="0.31496062992125984"/>
  <pageSetup paperSize="9" scale="71" fitToWidth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E828B-487B-49DC-B518-588FEFC8BEB0}">
  <sheetPr codeName="Planilha17">
    <pageSetUpPr fitToPage="1"/>
  </sheetPr>
  <dimension ref="A1:V48"/>
  <sheetViews>
    <sheetView showGridLines="0" workbookViewId="0">
      <selection activeCell="L1" sqref="L1"/>
    </sheetView>
  </sheetViews>
  <sheetFormatPr defaultRowHeight="15"/>
  <cols>
    <col min="1" max="1" width="3.7109375" style="30" customWidth="1"/>
    <col min="2" max="2" width="8.140625" style="30" customWidth="1"/>
    <col min="3" max="3" width="3.42578125" style="30" customWidth="1"/>
    <col min="4" max="4" width="10.7109375" style="30" customWidth="1"/>
    <col min="5" max="5" width="6.7109375" style="30" customWidth="1"/>
    <col min="6" max="6" width="9.140625" style="30"/>
    <col min="7" max="7" width="7.28515625" style="30" customWidth="1"/>
    <col min="8" max="10" width="9.140625" style="30"/>
    <col min="11" max="11" width="11.5703125" style="30" customWidth="1"/>
    <col min="12" max="12" width="8.28515625" style="30" customWidth="1"/>
    <col min="13" max="20" width="9.140625" style="30"/>
    <col min="21" max="21" width="10.28515625" style="30" customWidth="1"/>
    <col min="22" max="22" width="3.7109375" style="30" customWidth="1"/>
    <col min="23" max="16384" width="9.140625" style="30"/>
  </cols>
  <sheetData>
    <row r="1" spans="1:22">
      <c r="A1" s="44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45"/>
    </row>
    <row r="2" spans="1:22" ht="27">
      <c r="A2" s="46"/>
      <c r="B2" s="47" t="s">
        <v>330</v>
      </c>
      <c r="M2" s="47" t="s">
        <v>358</v>
      </c>
      <c r="V2" s="48"/>
    </row>
    <row r="3" spans="1:22" ht="27">
      <c r="A3" s="46"/>
      <c r="B3" s="47" t="s">
        <v>433</v>
      </c>
      <c r="V3" s="48"/>
    </row>
    <row r="4" spans="1:22">
      <c r="A4" s="46"/>
      <c r="M4" s="30" t="s">
        <v>442</v>
      </c>
      <c r="V4" s="48"/>
    </row>
    <row r="5" spans="1:22">
      <c r="A5" s="46"/>
      <c r="B5" s="151" t="s">
        <v>434</v>
      </c>
      <c r="C5" s="151"/>
      <c r="D5" s="151"/>
      <c r="E5" s="151"/>
      <c r="F5" s="151"/>
      <c r="G5" s="151"/>
      <c r="H5" s="151"/>
      <c r="I5" s="151"/>
      <c r="J5" s="151"/>
      <c r="K5" s="151"/>
      <c r="V5" s="48"/>
    </row>
    <row r="6" spans="1:22">
      <c r="A6" s="46"/>
      <c r="B6" s="151" t="s">
        <v>435</v>
      </c>
      <c r="C6" s="151"/>
      <c r="D6" s="151"/>
      <c r="E6" s="151"/>
      <c r="F6" s="151"/>
      <c r="G6" s="151"/>
      <c r="H6" s="151"/>
      <c r="I6" s="151"/>
      <c r="J6" s="151"/>
      <c r="K6" s="151"/>
      <c r="M6" s="151" t="s">
        <v>443</v>
      </c>
      <c r="N6" s="151"/>
      <c r="O6" s="151"/>
      <c r="P6" s="151"/>
      <c r="Q6" s="151"/>
      <c r="R6" s="151"/>
      <c r="S6" s="151"/>
      <c r="T6" s="151"/>
      <c r="U6" s="151"/>
      <c r="V6" s="48"/>
    </row>
    <row r="7" spans="1:22">
      <c r="A7" s="46"/>
      <c r="B7" s="30" t="s">
        <v>355</v>
      </c>
      <c r="M7" s="30" t="s">
        <v>359</v>
      </c>
      <c r="V7" s="48"/>
    </row>
    <row r="8" spans="1:22">
      <c r="A8" s="46"/>
      <c r="V8" s="48"/>
    </row>
    <row r="9" spans="1:22">
      <c r="A9" s="46"/>
      <c r="B9" s="152" t="s">
        <v>334</v>
      </c>
      <c r="C9" s="152"/>
      <c r="D9" s="152"/>
      <c r="E9" s="152"/>
      <c r="F9" s="152"/>
      <c r="G9" s="152"/>
      <c r="H9" s="152"/>
      <c r="I9" s="152"/>
      <c r="J9" s="152"/>
      <c r="K9" s="152"/>
      <c r="M9" s="30" t="s">
        <v>361</v>
      </c>
      <c r="V9" s="48"/>
    </row>
    <row r="10" spans="1:22">
      <c r="A10" s="46"/>
      <c r="B10" s="30" t="s">
        <v>335</v>
      </c>
      <c r="M10" s="30" t="s">
        <v>362</v>
      </c>
      <c r="V10" s="48"/>
    </row>
    <row r="11" spans="1:22">
      <c r="A11" s="46"/>
      <c r="B11" s="30" t="s">
        <v>332</v>
      </c>
      <c r="E11" s="33" t="str">
        <f>Máscara!M13</f>
        <v>Euro Import - Londrina</v>
      </c>
      <c r="F11" s="33"/>
      <c r="G11" s="33"/>
      <c r="H11" s="33"/>
      <c r="I11" s="33"/>
      <c r="J11" s="33"/>
      <c r="K11" s="33"/>
      <c r="M11" s="30" t="s">
        <v>363</v>
      </c>
      <c r="V11" s="48"/>
    </row>
    <row r="12" spans="1:22">
      <c r="A12" s="46"/>
      <c r="B12" s="30" t="s">
        <v>333</v>
      </c>
      <c r="D12" s="33" t="str">
        <f>Máscara!O8</f>
        <v>08.964.646/0001-09</v>
      </c>
      <c r="E12" s="33"/>
      <c r="F12" s="33"/>
      <c r="G12" s="33"/>
      <c r="H12" s="33"/>
      <c r="I12" s="33"/>
      <c r="J12" s="33"/>
      <c r="K12" s="33"/>
      <c r="M12" s="151" t="s">
        <v>364</v>
      </c>
      <c r="N12" s="151"/>
      <c r="O12" s="151"/>
      <c r="P12" s="151"/>
      <c r="Q12" s="151"/>
      <c r="R12" s="151"/>
      <c r="S12" s="151"/>
      <c r="T12" s="151"/>
      <c r="U12" s="151"/>
      <c r="V12" s="48"/>
    </row>
    <row r="13" spans="1:22">
      <c r="A13" s="46"/>
      <c r="B13" s="30" t="s">
        <v>336</v>
      </c>
      <c r="M13" s="30" t="s">
        <v>365</v>
      </c>
      <c r="V13" s="48"/>
    </row>
    <row r="14" spans="1:22">
      <c r="A14" s="46"/>
      <c r="B14" s="30" t="s">
        <v>337</v>
      </c>
      <c r="M14" s="30" t="s">
        <v>419</v>
      </c>
      <c r="V14" s="48"/>
    </row>
    <row r="15" spans="1:22">
      <c r="A15" s="46"/>
      <c r="B15" s="49" t="s">
        <v>332</v>
      </c>
      <c r="E15" s="33" t="str">
        <f>Máscara!C16</f>
        <v>ELAINE SILVA</v>
      </c>
      <c r="F15" s="33"/>
      <c r="G15" s="33"/>
      <c r="H15" s="33"/>
      <c r="I15" s="33"/>
      <c r="J15" s="33"/>
      <c r="K15" s="33"/>
      <c r="M15" s="30" t="s">
        <v>420</v>
      </c>
      <c r="V15" s="48"/>
    </row>
    <row r="16" spans="1:22">
      <c r="A16" s="46"/>
      <c r="B16" s="30" t="s">
        <v>338</v>
      </c>
      <c r="E16" s="34" t="str">
        <f>Máscara!E16</f>
        <v>123.456.789-00</v>
      </c>
      <c r="F16" s="34"/>
      <c r="G16" s="34"/>
      <c r="H16" s="34"/>
      <c r="I16" s="34"/>
      <c r="J16" s="34"/>
      <c r="K16" s="34"/>
      <c r="M16" s="30" t="s">
        <v>421</v>
      </c>
      <c r="V16" s="48"/>
    </row>
    <row r="17" spans="1:22">
      <c r="A17" s="46"/>
      <c r="M17" s="30" t="s">
        <v>422</v>
      </c>
      <c r="V17" s="48"/>
    </row>
    <row r="18" spans="1:22">
      <c r="A18" s="46"/>
      <c r="B18" s="151" t="s">
        <v>339</v>
      </c>
      <c r="C18" s="151"/>
      <c r="D18" s="151"/>
      <c r="E18" s="151"/>
      <c r="F18" s="151"/>
      <c r="G18" s="151"/>
      <c r="H18" s="151"/>
      <c r="I18" s="151"/>
      <c r="J18" s="151"/>
      <c r="K18" s="151"/>
      <c r="V18" s="48"/>
    </row>
    <row r="19" spans="1:22">
      <c r="A19" s="46"/>
      <c r="B19" s="151" t="s">
        <v>389</v>
      </c>
      <c r="C19" s="151"/>
      <c r="D19" s="151"/>
      <c r="E19" s="153" cm="1">
        <f t="array" ref="E19">Valor_a_pagar[VALOR A PAGAR]</f>
        <v>11321.234528644141</v>
      </c>
      <c r="F19" s="153"/>
      <c r="G19" s="151" t="s">
        <v>436</v>
      </c>
      <c r="H19" s="151"/>
      <c r="I19" s="151"/>
      <c r="J19" s="151"/>
      <c r="K19" s="151"/>
      <c r="M19" s="30" t="s">
        <v>424</v>
      </c>
      <c r="V19" s="48"/>
    </row>
    <row r="20" spans="1:22">
      <c r="A20" s="46"/>
      <c r="B20" s="30" t="s">
        <v>437</v>
      </c>
      <c r="V20" s="48"/>
    </row>
    <row r="21" spans="1:22">
      <c r="A21" s="46"/>
      <c r="M21" s="30" t="s">
        <v>367</v>
      </c>
      <c r="V21" s="48"/>
    </row>
    <row r="22" spans="1:22">
      <c r="A22" s="46"/>
      <c r="B22" s="30" t="s">
        <v>340</v>
      </c>
      <c r="C22" s="33" t="str">
        <f>Máscara!I13</f>
        <v>SÉRIE 3</v>
      </c>
      <c r="D22" s="33"/>
      <c r="E22" s="33"/>
      <c r="F22" s="33"/>
      <c r="G22" s="33"/>
      <c r="H22" s="33"/>
      <c r="I22" s="33"/>
      <c r="J22" s="33"/>
      <c r="K22" s="33"/>
      <c r="V22" s="48"/>
    </row>
    <row r="23" spans="1:22">
      <c r="A23" s="46"/>
      <c r="B23" s="30" t="s">
        <v>341</v>
      </c>
      <c r="D23" s="34" t="str">
        <f>Máscara!G13</f>
        <v>2021/2022</v>
      </c>
      <c r="E23" s="34"/>
      <c r="F23" s="34"/>
      <c r="G23" s="34"/>
      <c r="H23" s="34"/>
      <c r="I23" s="34"/>
      <c r="J23" s="34"/>
      <c r="K23" s="34"/>
      <c r="M23" s="151" t="s">
        <v>425</v>
      </c>
      <c r="N23" s="151"/>
      <c r="O23" s="151"/>
      <c r="P23" s="151"/>
      <c r="Q23" s="151"/>
      <c r="R23" s="151"/>
      <c r="S23" s="151"/>
      <c r="T23" s="151"/>
      <c r="U23" s="151"/>
      <c r="V23" s="48"/>
    </row>
    <row r="24" spans="1:22">
      <c r="A24" s="46"/>
      <c r="B24" s="30" t="s">
        <v>342</v>
      </c>
      <c r="C24" s="33" t="str">
        <f>Máscara!C13</f>
        <v>9IJHFT6RES4A98765</v>
      </c>
      <c r="D24" s="33"/>
      <c r="E24" s="33"/>
      <c r="F24" s="33"/>
      <c r="G24" s="33"/>
      <c r="H24" s="33"/>
      <c r="I24" s="33"/>
      <c r="J24" s="33"/>
      <c r="K24" s="33"/>
      <c r="M24" s="151" t="s">
        <v>462</v>
      </c>
      <c r="N24" s="151"/>
      <c r="O24" s="151"/>
      <c r="P24" s="151"/>
      <c r="Q24" s="151"/>
      <c r="R24" s="151"/>
      <c r="S24" s="151"/>
      <c r="T24" s="151"/>
      <c r="U24" s="151"/>
      <c r="V24" s="48"/>
    </row>
    <row r="25" spans="1:22">
      <c r="A25" s="46"/>
      <c r="M25" s="30" t="s">
        <v>370</v>
      </c>
      <c r="V25" s="48"/>
    </row>
    <row r="26" spans="1:22">
      <c r="A26" s="46"/>
      <c r="B26" s="151" t="s">
        <v>343</v>
      </c>
      <c r="C26" s="151"/>
      <c r="D26" s="151"/>
      <c r="E26" s="151"/>
      <c r="F26" s="151"/>
      <c r="G26" s="151"/>
      <c r="H26" s="151"/>
      <c r="I26" s="151"/>
      <c r="J26" s="151"/>
      <c r="K26" s="151"/>
      <c r="V26" s="48"/>
    </row>
    <row r="27" spans="1:22">
      <c r="A27" s="46"/>
      <c r="B27" s="151" t="s">
        <v>344</v>
      </c>
      <c r="C27" s="151"/>
      <c r="D27" s="151"/>
      <c r="E27" s="151"/>
      <c r="F27" s="151"/>
      <c r="G27" s="151"/>
      <c r="H27" s="151"/>
      <c r="I27" s="151"/>
      <c r="J27" s="151"/>
      <c r="K27" s="151"/>
      <c r="M27" s="151" t="s">
        <v>371</v>
      </c>
      <c r="N27" s="151"/>
      <c r="O27" s="151"/>
      <c r="P27" s="151"/>
      <c r="Q27" s="151"/>
      <c r="R27" s="151"/>
      <c r="S27" s="151"/>
      <c r="T27" s="151"/>
      <c r="U27" s="151"/>
      <c r="V27" s="48"/>
    </row>
    <row r="28" spans="1:22">
      <c r="A28" s="46"/>
      <c r="B28" s="151" t="s">
        <v>438</v>
      </c>
      <c r="C28" s="151"/>
      <c r="D28" s="151"/>
      <c r="E28" s="151"/>
      <c r="F28" s="151"/>
      <c r="G28" s="151"/>
      <c r="H28" s="151"/>
      <c r="I28" s="151"/>
      <c r="J28" s="151"/>
      <c r="K28" s="151"/>
      <c r="M28" s="151" t="s">
        <v>372</v>
      </c>
      <c r="N28" s="151"/>
      <c r="O28" s="151"/>
      <c r="P28" s="151"/>
      <c r="Q28" s="151"/>
      <c r="R28" s="151"/>
      <c r="S28" s="151"/>
      <c r="T28" s="151"/>
      <c r="U28" s="151"/>
      <c r="V28" s="48"/>
    </row>
    <row r="29" spans="1:22">
      <c r="A29" s="46"/>
      <c r="B29" s="30" t="s">
        <v>412</v>
      </c>
      <c r="M29" s="30" t="s">
        <v>444</v>
      </c>
      <c r="V29" s="48"/>
    </row>
    <row r="30" spans="1:22">
      <c r="A30" s="46"/>
      <c r="V30" s="48"/>
    </row>
    <row r="31" spans="1:22">
      <c r="A31" s="46"/>
      <c r="B31" s="30" t="s">
        <v>439</v>
      </c>
      <c r="F31" s="154">
        <f>Máscara!M16</f>
        <v>46083</v>
      </c>
      <c r="G31" s="154"/>
      <c r="H31" s="151" t="s">
        <v>360</v>
      </c>
      <c r="I31" s="151"/>
      <c r="J31" s="151"/>
      <c r="K31" s="151"/>
      <c r="M31" s="30" t="s">
        <v>445</v>
      </c>
      <c r="V31" s="48"/>
    </row>
    <row r="32" spans="1:22">
      <c r="A32" s="46"/>
      <c r="B32" s="30" t="s">
        <v>357</v>
      </c>
      <c r="D32" s="155">
        <f>Máscara!M19</f>
        <v>80000</v>
      </c>
      <c r="E32" s="156"/>
      <c r="F32" s="30" t="s">
        <v>345</v>
      </c>
      <c r="V32" s="48"/>
    </row>
    <row r="33" spans="1:22">
      <c r="A33" s="46"/>
      <c r="M33" s="151" t="s">
        <v>446</v>
      </c>
      <c r="N33" s="151"/>
      <c r="O33" s="151"/>
      <c r="P33" s="151"/>
      <c r="Q33" s="151"/>
      <c r="R33" s="151"/>
      <c r="S33" s="151"/>
      <c r="T33" s="151"/>
      <c r="U33" s="151"/>
      <c r="V33" s="48"/>
    </row>
    <row r="34" spans="1:22">
      <c r="A34" s="46"/>
      <c r="B34" s="151" t="s">
        <v>346</v>
      </c>
      <c r="C34" s="151"/>
      <c r="D34" s="151"/>
      <c r="E34" s="151"/>
      <c r="F34" s="151"/>
      <c r="G34" s="151"/>
      <c r="H34" s="151"/>
      <c r="I34" s="151"/>
      <c r="J34" s="151"/>
      <c r="K34" s="151"/>
      <c r="M34" s="151" t="s">
        <v>376</v>
      </c>
      <c r="N34" s="151"/>
      <c r="O34" s="151"/>
      <c r="P34" s="151"/>
      <c r="Q34" s="151"/>
      <c r="R34" s="151"/>
      <c r="S34" s="151"/>
      <c r="T34" s="151"/>
      <c r="U34" s="151"/>
      <c r="V34" s="48"/>
    </row>
    <row r="35" spans="1:22">
      <c r="A35" s="46"/>
      <c r="B35" s="151" t="s">
        <v>440</v>
      </c>
      <c r="C35" s="151"/>
      <c r="D35" s="151"/>
      <c r="E35" s="151"/>
      <c r="F35" s="151"/>
      <c r="G35" s="151"/>
      <c r="H35" s="151"/>
      <c r="I35" s="151"/>
      <c r="J35" s="151"/>
      <c r="K35" s="151"/>
      <c r="M35" s="30" t="s">
        <v>377</v>
      </c>
      <c r="V35" s="48"/>
    </row>
    <row r="36" spans="1:22">
      <c r="A36" s="46"/>
      <c r="B36" s="30" t="s">
        <v>441</v>
      </c>
      <c r="V36" s="48"/>
    </row>
    <row r="37" spans="1:22">
      <c r="A37" s="46"/>
      <c r="M37" s="151" t="s">
        <v>447</v>
      </c>
      <c r="N37" s="151"/>
      <c r="O37" s="151"/>
      <c r="P37" s="151"/>
      <c r="Q37" s="151"/>
      <c r="R37" s="151"/>
      <c r="S37" s="151"/>
      <c r="T37" s="151"/>
      <c r="U37" s="151"/>
      <c r="V37" s="48"/>
    </row>
    <row r="38" spans="1:22">
      <c r="A38" s="46"/>
      <c r="B38" s="151" t="s">
        <v>347</v>
      </c>
      <c r="C38" s="151"/>
      <c r="D38" s="151"/>
      <c r="E38" s="151"/>
      <c r="F38" s="151"/>
      <c r="G38" s="151"/>
      <c r="H38" s="151"/>
      <c r="I38" s="151"/>
      <c r="J38" s="151"/>
      <c r="K38" s="151"/>
      <c r="M38" s="151" t="s">
        <v>379</v>
      </c>
      <c r="N38" s="151"/>
      <c r="O38" s="151"/>
      <c r="P38" s="151"/>
      <c r="Q38" s="151"/>
      <c r="R38" s="151"/>
      <c r="S38" s="151"/>
      <c r="T38" s="151"/>
      <c r="U38" s="151"/>
      <c r="V38" s="48"/>
    </row>
    <row r="39" spans="1:22">
      <c r="A39" s="46"/>
      <c r="B39" s="151" t="s">
        <v>348</v>
      </c>
      <c r="C39" s="151"/>
      <c r="D39" s="151"/>
      <c r="E39" s="151"/>
      <c r="F39" s="151"/>
      <c r="G39" s="151"/>
      <c r="H39" s="151"/>
      <c r="I39" s="151"/>
      <c r="J39" s="151"/>
      <c r="K39" s="151"/>
      <c r="M39" s="151" t="s">
        <v>380</v>
      </c>
      <c r="N39" s="151"/>
      <c r="O39" s="151"/>
      <c r="P39" s="151"/>
      <c r="Q39" s="151"/>
      <c r="R39" s="151"/>
      <c r="S39" s="151"/>
      <c r="T39" s="151"/>
      <c r="U39" s="151"/>
      <c r="V39" s="48"/>
    </row>
    <row r="40" spans="1:22">
      <c r="A40" s="46"/>
      <c r="B40" s="30" t="s">
        <v>349</v>
      </c>
      <c r="M40" s="151" t="s">
        <v>381</v>
      </c>
      <c r="N40" s="151"/>
      <c r="O40" s="151"/>
      <c r="P40" s="151"/>
      <c r="Q40" s="151"/>
      <c r="R40" s="151"/>
      <c r="S40" s="151"/>
      <c r="T40" s="151"/>
      <c r="U40" s="151"/>
      <c r="V40" s="48"/>
    </row>
    <row r="41" spans="1:22">
      <c r="A41" s="46"/>
      <c r="M41" s="30" t="s">
        <v>448</v>
      </c>
      <c r="V41" s="48"/>
    </row>
    <row r="42" spans="1:22">
      <c r="A42" s="46"/>
      <c r="B42" s="30" t="s">
        <v>350</v>
      </c>
      <c r="C42" s="154">
        <f>Máscara!C21</f>
        <v>44838</v>
      </c>
      <c r="D42" s="154"/>
      <c r="E42" s="154"/>
      <c r="V42" s="48"/>
    </row>
    <row r="43" spans="1:22">
      <c r="A43" s="46"/>
      <c r="M43" s="30" t="s">
        <v>383</v>
      </c>
      <c r="V43" s="48"/>
    </row>
    <row r="44" spans="1:22">
      <c r="A44" s="46"/>
      <c r="V44" s="48"/>
    </row>
    <row r="45" spans="1:22">
      <c r="A45" s="46"/>
      <c r="M45" s="151" t="s">
        <v>449</v>
      </c>
      <c r="N45" s="151"/>
      <c r="O45" s="151"/>
      <c r="P45" s="151"/>
      <c r="Q45" s="151"/>
      <c r="R45" s="151"/>
      <c r="S45" s="151"/>
      <c r="T45" s="151"/>
      <c r="U45" s="151"/>
      <c r="V45" s="48"/>
    </row>
    <row r="46" spans="1:22">
      <c r="A46" s="46"/>
      <c r="B46" s="31" t="s">
        <v>351</v>
      </c>
      <c r="C46" s="31"/>
      <c r="D46" s="31"/>
      <c r="E46" s="31"/>
      <c r="F46" s="31"/>
      <c r="H46" s="32" t="s">
        <v>352</v>
      </c>
      <c r="I46" s="31"/>
      <c r="J46" s="31"/>
      <c r="K46" s="31"/>
      <c r="M46" s="151" t="s">
        <v>450</v>
      </c>
      <c r="N46" s="151"/>
      <c r="O46" s="151"/>
      <c r="P46" s="151"/>
      <c r="Q46" s="151"/>
      <c r="R46" s="151"/>
      <c r="S46" s="151"/>
      <c r="T46" s="151"/>
      <c r="U46" s="151"/>
      <c r="V46" s="48"/>
    </row>
    <row r="47" spans="1:22">
      <c r="A47" s="46"/>
      <c r="H47" s="50" t="s">
        <v>353</v>
      </c>
      <c r="M47" s="151" t="s">
        <v>423</v>
      </c>
      <c r="N47" s="151"/>
      <c r="O47" s="151"/>
      <c r="P47" s="151"/>
      <c r="Q47" s="151"/>
      <c r="R47" s="151"/>
      <c r="S47" s="151"/>
      <c r="T47" s="151"/>
      <c r="U47" s="151"/>
      <c r="V47" s="48"/>
    </row>
    <row r="48" spans="1:22">
      <c r="A48" s="51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52"/>
    </row>
  </sheetData>
  <sheetProtection sheet="1" objects="1" scenarios="1"/>
  <mergeCells count="33">
    <mergeCell ref="M45:U45"/>
    <mergeCell ref="M46:U46"/>
    <mergeCell ref="M47:U47"/>
    <mergeCell ref="B38:K38"/>
    <mergeCell ref="M38:U38"/>
    <mergeCell ref="B39:K39"/>
    <mergeCell ref="M39:U39"/>
    <mergeCell ref="M40:U40"/>
    <mergeCell ref="C42:E42"/>
    <mergeCell ref="M37:U37"/>
    <mergeCell ref="B27:K27"/>
    <mergeCell ref="M27:U27"/>
    <mergeCell ref="B28:K28"/>
    <mergeCell ref="M28:U28"/>
    <mergeCell ref="F31:G31"/>
    <mergeCell ref="H31:K31"/>
    <mergeCell ref="D32:E32"/>
    <mergeCell ref="M33:U33"/>
    <mergeCell ref="B34:K34"/>
    <mergeCell ref="M34:U34"/>
    <mergeCell ref="B35:K35"/>
    <mergeCell ref="B26:K26"/>
    <mergeCell ref="B5:K5"/>
    <mergeCell ref="B6:K6"/>
    <mergeCell ref="M6:U6"/>
    <mergeCell ref="B9:K9"/>
    <mergeCell ref="M12:U12"/>
    <mergeCell ref="B18:K18"/>
    <mergeCell ref="B19:D19"/>
    <mergeCell ref="E19:F19"/>
    <mergeCell ref="G19:K19"/>
    <mergeCell ref="M23:U23"/>
    <mergeCell ref="M24:U24"/>
  </mergeCells>
  <pageMargins left="0.70866141732283472" right="0.70866141732283472" top="0.55118110236220474" bottom="0.55118110236220474" header="0.31496062992125984" footer="0.31496062992125984"/>
  <pageSetup paperSize="9" scale="71" fitToWidth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8FD9A-4D40-4F58-AB51-25CB2504666A}">
  <sheetPr codeName="Planilha3"/>
  <dimension ref="A1:AA215"/>
  <sheetViews>
    <sheetView topLeftCell="M1" workbookViewId="0">
      <selection activeCell="W28" sqref="W28"/>
    </sheetView>
  </sheetViews>
  <sheetFormatPr defaultRowHeight="15"/>
  <cols>
    <col min="1" max="1" width="15.28515625" bestFit="1" customWidth="1"/>
    <col min="2" max="2" width="24.7109375" bestFit="1" customWidth="1"/>
    <col min="3" max="3" width="16.140625" bestFit="1" customWidth="1"/>
    <col min="4" max="4" width="11" bestFit="1" customWidth="1"/>
    <col min="5" max="5" width="17.7109375" bestFit="1" customWidth="1"/>
    <col min="6" max="6" width="23.5703125" bestFit="1" customWidth="1"/>
    <col min="7" max="7" width="16.85546875" bestFit="1" customWidth="1"/>
    <col min="8" max="12" width="16.85546875" customWidth="1"/>
    <col min="13" max="13" width="19" bestFit="1" customWidth="1"/>
    <col min="14" max="14" width="19" customWidth="1"/>
    <col min="15" max="15" width="7.7109375" customWidth="1"/>
    <col min="16" max="16" width="15.85546875" bestFit="1" customWidth="1"/>
    <col min="17" max="17" width="7.7109375" customWidth="1"/>
    <col min="18" max="18" width="15.85546875" bestFit="1" customWidth="1"/>
    <col min="19" max="19" width="22.28515625" bestFit="1" customWidth="1"/>
    <col min="20" max="20" width="4.28515625" bestFit="1" customWidth="1"/>
    <col min="21" max="21" width="4.42578125" bestFit="1" customWidth="1"/>
    <col min="22" max="22" width="24.140625" bestFit="1" customWidth="1"/>
    <col min="23" max="23" width="22.28515625" bestFit="1" customWidth="1"/>
    <col min="24" max="24" width="8" bestFit="1" customWidth="1"/>
    <col min="25" max="26" width="10.42578125" bestFit="1" customWidth="1"/>
  </cols>
  <sheetData>
    <row r="1" spans="1:27">
      <c r="A1" s="2" t="s">
        <v>11</v>
      </c>
      <c r="B1" s="2" t="s">
        <v>12</v>
      </c>
      <c r="C1" s="2" t="s">
        <v>13</v>
      </c>
      <c r="D1" s="2" t="s">
        <v>14</v>
      </c>
      <c r="E1" s="2" t="s">
        <v>15</v>
      </c>
      <c r="F1" s="2" t="s">
        <v>16</v>
      </c>
      <c r="G1" s="2" t="s">
        <v>5</v>
      </c>
      <c r="H1" s="2"/>
      <c r="I1" s="2"/>
      <c r="J1" s="2"/>
      <c r="K1" s="2"/>
      <c r="L1" s="2"/>
      <c r="M1" s="2" t="s">
        <v>17</v>
      </c>
      <c r="N1" s="2"/>
      <c r="O1" s="2" t="s">
        <v>267</v>
      </c>
      <c r="P1" s="2" t="s">
        <v>268</v>
      </c>
      <c r="Q1" s="2" t="s">
        <v>269</v>
      </c>
      <c r="R1" s="2" t="s">
        <v>270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324</v>
      </c>
    </row>
    <row r="2" spans="1:27">
      <c r="A2" s="3">
        <v>36470</v>
      </c>
      <c r="B2" s="3" t="s">
        <v>26</v>
      </c>
      <c r="C2" s="3" t="s">
        <v>27</v>
      </c>
      <c r="D2" s="3">
        <v>36470</v>
      </c>
      <c r="E2" s="3" t="s">
        <v>28</v>
      </c>
      <c r="F2" s="3" t="s">
        <v>29</v>
      </c>
      <c r="G2" s="3" t="s">
        <v>30</v>
      </c>
      <c r="H2" s="3"/>
      <c r="I2" s="3"/>
      <c r="J2" s="3"/>
      <c r="K2" s="3"/>
      <c r="L2" s="3"/>
      <c r="M2" s="3">
        <v>3</v>
      </c>
      <c r="N2" s="3" t="s">
        <v>271</v>
      </c>
      <c r="O2" s="4">
        <v>40000</v>
      </c>
      <c r="P2" s="4">
        <v>60000</v>
      </c>
      <c r="Q2" s="4">
        <v>60000</v>
      </c>
      <c r="R2" s="4">
        <v>120000</v>
      </c>
      <c r="S2" s="3" t="s">
        <v>31</v>
      </c>
      <c r="T2" s="3">
        <v>3</v>
      </c>
      <c r="U2" s="3">
        <v>1096</v>
      </c>
      <c r="V2" s="3" t="str">
        <f>W2&amp;"-"&amp;X2</f>
        <v>3/40000-Standard</v>
      </c>
      <c r="W2" s="3" t="s">
        <v>32</v>
      </c>
      <c r="X2" s="3" t="s">
        <v>33</v>
      </c>
      <c r="Y2" s="5" t="s">
        <v>34</v>
      </c>
      <c r="Z2" s="3" t="s">
        <v>43</v>
      </c>
      <c r="AA2" s="3" t="s">
        <v>8</v>
      </c>
    </row>
    <row r="3" spans="1:27">
      <c r="A3" s="3">
        <v>25349</v>
      </c>
      <c r="B3" s="3" t="s">
        <v>36</v>
      </c>
      <c r="C3" s="3" t="s">
        <v>37</v>
      </c>
      <c r="D3" s="3">
        <v>25349</v>
      </c>
      <c r="E3" s="3" t="s">
        <v>38</v>
      </c>
      <c r="F3" s="3" t="s">
        <v>39</v>
      </c>
      <c r="G3" s="3" t="s">
        <v>40</v>
      </c>
      <c r="H3" s="3"/>
      <c r="I3" s="3"/>
      <c r="J3" s="3"/>
      <c r="K3" s="3"/>
      <c r="L3" s="3"/>
      <c r="M3" s="3">
        <v>4</v>
      </c>
      <c r="N3" s="3" t="s">
        <v>272</v>
      </c>
      <c r="O3" s="4">
        <v>60000</v>
      </c>
      <c r="P3" s="4">
        <v>80000</v>
      </c>
      <c r="Q3" s="4">
        <v>80000</v>
      </c>
      <c r="R3" s="3" t="s">
        <v>494</v>
      </c>
      <c r="S3" s="3" t="s">
        <v>41</v>
      </c>
      <c r="T3" s="3">
        <v>4</v>
      </c>
      <c r="U3" s="3">
        <v>1461</v>
      </c>
      <c r="V3" s="3" t="str">
        <f t="shared" ref="V3:V27" si="0">W3&amp;"-"&amp;X3</f>
        <v>3/40000-Plus</v>
      </c>
      <c r="W3" s="3" t="s">
        <v>32</v>
      </c>
      <c r="X3" s="3" t="s">
        <v>10</v>
      </c>
      <c r="Y3" s="5" t="s">
        <v>42</v>
      </c>
      <c r="Z3" s="3" t="s">
        <v>35</v>
      </c>
      <c r="AA3" s="3" t="s">
        <v>9</v>
      </c>
    </row>
    <row r="4" spans="1:27">
      <c r="A4" s="3">
        <v>25332</v>
      </c>
      <c r="B4" s="3" t="s">
        <v>44</v>
      </c>
      <c r="C4" s="3" t="s">
        <v>45</v>
      </c>
      <c r="D4" s="3">
        <v>25332</v>
      </c>
      <c r="E4" s="3" t="s">
        <v>46</v>
      </c>
      <c r="F4" s="3"/>
      <c r="G4" s="3" t="s">
        <v>47</v>
      </c>
      <c r="H4" s="3"/>
      <c r="I4" s="3"/>
      <c r="J4" s="3"/>
      <c r="K4" s="3"/>
      <c r="L4" s="3"/>
      <c r="M4" s="3">
        <v>5</v>
      </c>
      <c r="N4" s="3" t="s">
        <v>273</v>
      </c>
      <c r="O4" s="4">
        <v>100000</v>
      </c>
      <c r="P4" s="4">
        <v>100000</v>
      </c>
      <c r="Q4" s="4">
        <v>100000</v>
      </c>
      <c r="R4" s="4"/>
      <c r="S4" s="3"/>
      <c r="T4" s="3">
        <v>5</v>
      </c>
      <c r="U4" s="3">
        <v>1826</v>
      </c>
      <c r="V4" s="3" t="str">
        <f t="shared" si="0"/>
        <v>3/60000-Standard</v>
      </c>
      <c r="W4" s="3" t="s">
        <v>48</v>
      </c>
      <c r="X4" s="3" t="s">
        <v>33</v>
      </c>
      <c r="Y4" s="3" t="s">
        <v>49</v>
      </c>
    </row>
    <row r="5" spans="1:27">
      <c r="A5" s="3">
        <v>25409</v>
      </c>
      <c r="B5" s="3" t="s">
        <v>50</v>
      </c>
      <c r="C5" s="3" t="s">
        <v>51</v>
      </c>
      <c r="D5" s="3">
        <v>25409</v>
      </c>
      <c r="E5" s="3"/>
      <c r="F5" s="3"/>
      <c r="G5" s="3" t="s">
        <v>52</v>
      </c>
      <c r="H5" s="3"/>
      <c r="I5" s="3"/>
      <c r="J5" s="3"/>
      <c r="K5" s="3"/>
      <c r="L5" s="3"/>
      <c r="M5" s="3">
        <v>6</v>
      </c>
      <c r="N5" s="3" t="s">
        <v>274</v>
      </c>
      <c r="O5" s="3"/>
      <c r="P5" s="4">
        <v>120000</v>
      </c>
      <c r="Q5" s="4"/>
      <c r="R5" s="4"/>
      <c r="S5" s="3"/>
      <c r="T5" s="3">
        <v>6</v>
      </c>
      <c r="U5" s="3">
        <v>2192</v>
      </c>
      <c r="V5" s="3" t="str">
        <f t="shared" si="0"/>
        <v>3/60000-Plus</v>
      </c>
      <c r="W5" s="3" t="s">
        <v>48</v>
      </c>
      <c r="X5" s="3" t="s">
        <v>10</v>
      </c>
      <c r="Y5" s="3" t="s">
        <v>53</v>
      </c>
      <c r="Z5" s="3"/>
    </row>
    <row r="6" spans="1:27">
      <c r="A6" s="3">
        <v>35360</v>
      </c>
      <c r="B6" s="3" t="s">
        <v>54</v>
      </c>
      <c r="C6" s="3" t="s">
        <v>55</v>
      </c>
      <c r="D6" s="3">
        <v>35360</v>
      </c>
      <c r="E6" s="3"/>
      <c r="F6" s="3"/>
      <c r="G6" s="3" t="s">
        <v>56</v>
      </c>
      <c r="H6" s="3"/>
      <c r="I6" s="3"/>
      <c r="J6" s="3"/>
      <c r="K6" s="3"/>
      <c r="L6" s="3"/>
      <c r="M6" s="3"/>
      <c r="N6" s="3"/>
      <c r="O6" s="3"/>
      <c r="P6" s="3" t="s">
        <v>494</v>
      </c>
      <c r="Q6" s="4"/>
      <c r="R6" s="4"/>
      <c r="S6" s="3"/>
      <c r="T6" s="3"/>
      <c r="U6" s="3"/>
      <c r="V6" s="3" t="str">
        <f t="shared" si="0"/>
        <v>3/100000-Standard</v>
      </c>
      <c r="W6" s="3" t="s">
        <v>57</v>
      </c>
      <c r="X6" s="3" t="s">
        <v>33</v>
      </c>
      <c r="Y6" s="3" t="s">
        <v>58</v>
      </c>
      <c r="Z6" s="3"/>
    </row>
    <row r="7" spans="1:27">
      <c r="A7" s="3">
        <v>25351</v>
      </c>
      <c r="B7" s="3" t="s">
        <v>59</v>
      </c>
      <c r="C7" s="3" t="s">
        <v>60</v>
      </c>
      <c r="D7" s="3">
        <v>25351</v>
      </c>
      <c r="E7" s="3"/>
      <c r="F7" s="3"/>
      <c r="G7" s="3" t="s">
        <v>61</v>
      </c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 t="str">
        <f t="shared" si="0"/>
        <v>3/100000-Plus</v>
      </c>
      <c r="W7" s="3" t="s">
        <v>57</v>
      </c>
      <c r="X7" s="3" t="s">
        <v>10</v>
      </c>
      <c r="Y7" s="3" t="s">
        <v>62</v>
      </c>
      <c r="Z7" s="3"/>
    </row>
    <row r="8" spans="1:27">
      <c r="A8" s="3">
        <v>32799</v>
      </c>
      <c r="B8" s="3" t="s">
        <v>63</v>
      </c>
      <c r="C8" s="3" t="s">
        <v>64</v>
      </c>
      <c r="D8" s="3">
        <v>32799</v>
      </c>
      <c r="E8" s="3"/>
      <c r="F8" s="3"/>
      <c r="G8" s="3" t="s">
        <v>65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 t="str">
        <f t="shared" si="0"/>
        <v>4/60000-Standard</v>
      </c>
      <c r="W8" s="3" t="s">
        <v>66</v>
      </c>
      <c r="X8" s="3" t="s">
        <v>33</v>
      </c>
      <c r="Y8" s="3" t="s">
        <v>67</v>
      </c>
      <c r="Z8" s="3"/>
    </row>
    <row r="9" spans="1:27">
      <c r="A9" s="3">
        <v>41442</v>
      </c>
      <c r="B9" s="3" t="s">
        <v>68</v>
      </c>
      <c r="C9" s="3" t="s">
        <v>69</v>
      </c>
      <c r="D9" s="3">
        <v>41442</v>
      </c>
      <c r="E9" s="3"/>
      <c r="F9" s="3"/>
      <c r="G9" s="3" t="s">
        <v>70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 t="str">
        <f t="shared" si="0"/>
        <v>4/60000-Plus</v>
      </c>
      <c r="W9" s="3" t="s">
        <v>66</v>
      </c>
      <c r="X9" s="3" t="s">
        <v>10</v>
      </c>
      <c r="Y9" s="3" t="s">
        <v>71</v>
      </c>
      <c r="Z9" s="3"/>
    </row>
    <row r="10" spans="1:27">
      <c r="A10" s="3">
        <v>49124</v>
      </c>
      <c r="B10" s="3" t="s">
        <v>72</v>
      </c>
      <c r="C10" s="3" t="s">
        <v>73</v>
      </c>
      <c r="D10" s="3">
        <v>49124</v>
      </c>
      <c r="E10" s="3"/>
      <c r="F10" s="3"/>
      <c r="G10" s="3" t="s">
        <v>74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 t="str">
        <f t="shared" si="0"/>
        <v>4/80000-Standard</v>
      </c>
      <c r="W10" s="3" t="s">
        <v>75</v>
      </c>
      <c r="X10" s="3" t="s">
        <v>33</v>
      </c>
      <c r="Y10" s="3" t="s">
        <v>76</v>
      </c>
      <c r="Z10" s="3"/>
    </row>
    <row r="11" spans="1:27">
      <c r="A11" s="3">
        <v>43755</v>
      </c>
      <c r="B11" s="3" t="s">
        <v>77</v>
      </c>
      <c r="C11" s="3" t="s">
        <v>78</v>
      </c>
      <c r="D11" s="3">
        <v>43755</v>
      </c>
      <c r="E11" s="3"/>
      <c r="F11" s="3"/>
      <c r="G11" s="6" t="s">
        <v>79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 t="str">
        <f t="shared" si="0"/>
        <v>4/80000-Plus</v>
      </c>
      <c r="W11" s="3" t="s">
        <v>75</v>
      </c>
      <c r="X11" s="3" t="s">
        <v>10</v>
      </c>
      <c r="Y11" s="3" t="s">
        <v>80</v>
      </c>
      <c r="Z11" s="3"/>
    </row>
    <row r="12" spans="1:27">
      <c r="A12" s="3">
        <v>35282</v>
      </c>
      <c r="B12" s="3" t="s">
        <v>81</v>
      </c>
      <c r="C12" s="3" t="s">
        <v>82</v>
      </c>
      <c r="D12" s="3">
        <v>35282</v>
      </c>
      <c r="E12" s="3"/>
      <c r="F12" s="3"/>
      <c r="G12" s="6" t="s">
        <v>83</v>
      </c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 t="str">
        <f t="shared" si="0"/>
        <v>4/100000-Standard</v>
      </c>
      <c r="W12" s="3" t="s">
        <v>84</v>
      </c>
      <c r="X12" s="3" t="s">
        <v>33</v>
      </c>
      <c r="Y12" s="3" t="s">
        <v>85</v>
      </c>
      <c r="Z12" s="3"/>
    </row>
    <row r="13" spans="1:27">
      <c r="A13" s="3">
        <v>33690</v>
      </c>
      <c r="B13" s="3" t="s">
        <v>86</v>
      </c>
      <c r="C13" s="3" t="s">
        <v>87</v>
      </c>
      <c r="D13" s="3">
        <v>33690</v>
      </c>
      <c r="E13" s="3"/>
      <c r="F13" s="3"/>
      <c r="G13" s="6" t="s">
        <v>88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 t="str">
        <f t="shared" si="0"/>
        <v>4/100000-Plus</v>
      </c>
      <c r="W13" s="3" t="s">
        <v>84</v>
      </c>
      <c r="X13" s="3" t="s">
        <v>10</v>
      </c>
      <c r="Y13" s="3" t="s">
        <v>89</v>
      </c>
      <c r="Z13" s="3"/>
    </row>
    <row r="14" spans="1:27">
      <c r="A14" s="3">
        <v>33458</v>
      </c>
      <c r="B14" s="3" t="s">
        <v>90</v>
      </c>
      <c r="C14" s="3" t="s">
        <v>91</v>
      </c>
      <c r="D14" s="3">
        <v>33458</v>
      </c>
      <c r="E14" s="3"/>
      <c r="F14" s="3"/>
      <c r="G14" s="3" t="s">
        <v>92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 t="str">
        <f t="shared" si="0"/>
        <v>4/120000-Standard</v>
      </c>
      <c r="W14" s="3" t="s">
        <v>93</v>
      </c>
      <c r="X14" s="3" t="s">
        <v>33</v>
      </c>
      <c r="Y14" s="3" t="s">
        <v>94</v>
      </c>
      <c r="Z14" s="3"/>
    </row>
    <row r="15" spans="1:27">
      <c r="A15" s="3">
        <v>43577</v>
      </c>
      <c r="B15" s="3" t="s">
        <v>95</v>
      </c>
      <c r="C15" s="3" t="s">
        <v>96</v>
      </c>
      <c r="D15" s="3">
        <v>43577</v>
      </c>
      <c r="E15" s="3"/>
      <c r="F15" s="3"/>
      <c r="G15" s="3" t="s">
        <v>97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 t="str">
        <f t="shared" si="0"/>
        <v>4/120000-Plus</v>
      </c>
      <c r="W15" s="3" t="s">
        <v>93</v>
      </c>
      <c r="X15" s="3" t="s">
        <v>10</v>
      </c>
      <c r="Y15" s="3" t="s">
        <v>98</v>
      </c>
      <c r="Z15" s="3"/>
    </row>
    <row r="16" spans="1:27">
      <c r="A16" s="3">
        <v>32008</v>
      </c>
      <c r="B16" s="3" t="s">
        <v>99</v>
      </c>
      <c r="C16" s="3" t="s">
        <v>100</v>
      </c>
      <c r="D16" s="3">
        <v>32008</v>
      </c>
      <c r="E16" s="3"/>
      <c r="F16" s="3"/>
      <c r="G16" s="3" t="s">
        <v>101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 t="str">
        <f t="shared" si="0"/>
        <v>5/60000-Standard</v>
      </c>
      <c r="W16" s="3" t="s">
        <v>102</v>
      </c>
      <c r="X16" s="3" t="s">
        <v>33</v>
      </c>
      <c r="Y16" s="3" t="s">
        <v>103</v>
      </c>
      <c r="Z16" s="3"/>
    </row>
    <row r="17" spans="1:26">
      <c r="A17" s="3">
        <v>32017</v>
      </c>
      <c r="B17" s="3" t="s">
        <v>104</v>
      </c>
      <c r="C17" s="3" t="s">
        <v>105</v>
      </c>
      <c r="D17" s="3">
        <v>32017</v>
      </c>
      <c r="E17" s="3"/>
      <c r="F17" s="3"/>
      <c r="G17" s="3" t="s">
        <v>106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 t="str">
        <f t="shared" si="0"/>
        <v>5/60000-Plus</v>
      </c>
      <c r="W17" s="3" t="s">
        <v>102</v>
      </c>
      <c r="X17" s="3" t="s">
        <v>10</v>
      </c>
      <c r="Y17" s="3" t="s">
        <v>107</v>
      </c>
      <c r="Z17" s="3"/>
    </row>
    <row r="18" spans="1:26">
      <c r="A18" s="3">
        <v>32007</v>
      </c>
      <c r="B18" s="3" t="s">
        <v>108</v>
      </c>
      <c r="C18" s="3" t="s">
        <v>109</v>
      </c>
      <c r="D18" s="3">
        <v>32007</v>
      </c>
      <c r="E18" s="3"/>
      <c r="F18" s="3"/>
      <c r="G18" s="3" t="s">
        <v>110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 t="str">
        <f t="shared" si="0"/>
        <v>5/80000-Standard</v>
      </c>
      <c r="W18" s="3" t="s">
        <v>111</v>
      </c>
      <c r="X18" s="3" t="s">
        <v>33</v>
      </c>
      <c r="Y18" s="3" t="s">
        <v>112</v>
      </c>
      <c r="Z18" s="3"/>
    </row>
    <row r="19" spans="1:26">
      <c r="A19" s="3">
        <v>43371</v>
      </c>
      <c r="B19" s="3" t="s">
        <v>328</v>
      </c>
      <c r="C19" s="3" t="s">
        <v>114</v>
      </c>
      <c r="D19" s="3">
        <v>43371</v>
      </c>
      <c r="E19" s="3"/>
      <c r="F19" s="3"/>
      <c r="G19" s="3" t="s">
        <v>115</v>
      </c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 t="str">
        <f t="shared" si="0"/>
        <v>5/80000-Plus</v>
      </c>
      <c r="W19" s="3" t="s">
        <v>111</v>
      </c>
      <c r="X19" s="3" t="s">
        <v>10</v>
      </c>
      <c r="Y19" s="3" t="s">
        <v>116</v>
      </c>
      <c r="Z19" s="3"/>
    </row>
    <row r="20" spans="1:26">
      <c r="A20" s="3">
        <v>50862</v>
      </c>
      <c r="B20" s="3" t="s">
        <v>327</v>
      </c>
      <c r="C20" s="3" t="s">
        <v>329</v>
      </c>
      <c r="D20" s="3">
        <v>50862</v>
      </c>
      <c r="E20" s="3"/>
      <c r="F20" s="3"/>
      <c r="G20" s="3" t="s">
        <v>119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 t="str">
        <f t="shared" si="0"/>
        <v>5/100000-Standard</v>
      </c>
      <c r="W20" s="3" t="s">
        <v>120</v>
      </c>
      <c r="X20" s="3" t="s">
        <v>33</v>
      </c>
      <c r="Y20" s="3" t="s">
        <v>121</v>
      </c>
      <c r="Z20" s="3"/>
    </row>
    <row r="21" spans="1:26">
      <c r="A21" s="3">
        <v>45766</v>
      </c>
      <c r="B21" s="3" t="s">
        <v>117</v>
      </c>
      <c r="C21" s="3" t="s">
        <v>118</v>
      </c>
      <c r="D21" s="3">
        <v>45766</v>
      </c>
      <c r="E21" s="3"/>
      <c r="F21" s="3"/>
      <c r="G21" s="3" t="s">
        <v>124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 t="str">
        <f t="shared" si="0"/>
        <v>5/100000-Plus</v>
      </c>
      <c r="W21" s="3" t="s">
        <v>120</v>
      </c>
      <c r="X21" s="3" t="s">
        <v>10</v>
      </c>
      <c r="Y21" s="3" t="s">
        <v>125</v>
      </c>
      <c r="Z21" s="3"/>
    </row>
    <row r="22" spans="1:26">
      <c r="A22" s="3">
        <v>25921</v>
      </c>
      <c r="B22" s="3" t="s">
        <v>122</v>
      </c>
      <c r="C22" s="3" t="s">
        <v>123</v>
      </c>
      <c r="D22" s="3">
        <v>25921</v>
      </c>
      <c r="E22" s="3"/>
      <c r="F22" s="3"/>
      <c r="G22" s="6" t="s">
        <v>128</v>
      </c>
      <c r="H22" s="6"/>
      <c r="I22" s="6"/>
      <c r="J22" s="6"/>
      <c r="K22" s="6"/>
      <c r="L22" s="6"/>
      <c r="M22" s="3"/>
      <c r="N22" s="3"/>
      <c r="O22" s="3"/>
      <c r="P22" s="3"/>
      <c r="Q22" s="3"/>
      <c r="R22" s="3"/>
      <c r="S22" s="3"/>
      <c r="T22" s="3"/>
      <c r="U22" s="3"/>
      <c r="V22" s="3" t="str">
        <f t="shared" si="0"/>
        <v>6/120000-Standard</v>
      </c>
      <c r="W22" s="3" t="s">
        <v>129</v>
      </c>
      <c r="X22" s="3" t="s">
        <v>33</v>
      </c>
      <c r="Y22" s="3" t="s">
        <v>130</v>
      </c>
      <c r="Z22" s="3"/>
    </row>
    <row r="23" spans="1:26">
      <c r="A23" s="3">
        <v>25336</v>
      </c>
      <c r="B23" s="3" t="s">
        <v>126</v>
      </c>
      <c r="C23" s="3" t="s">
        <v>127</v>
      </c>
      <c r="D23" s="3">
        <v>25336</v>
      </c>
      <c r="E23" s="3"/>
      <c r="F23" s="3"/>
      <c r="G23" s="3" t="s">
        <v>132</v>
      </c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 t="str">
        <f t="shared" si="0"/>
        <v>6/120000-Plus</v>
      </c>
      <c r="W23" s="3" t="s">
        <v>129</v>
      </c>
      <c r="X23" s="3" t="s">
        <v>10</v>
      </c>
      <c r="Y23" s="3" t="s">
        <v>133</v>
      </c>
      <c r="Z23" s="3"/>
    </row>
    <row r="24" spans="1:26">
      <c r="A24" s="3">
        <v>36646</v>
      </c>
      <c r="B24" s="3" t="s">
        <v>126</v>
      </c>
      <c r="C24" s="3" t="s">
        <v>131</v>
      </c>
      <c r="D24" s="3">
        <v>36646</v>
      </c>
      <c r="E24" s="3"/>
      <c r="F24" s="3"/>
      <c r="G24" s="3" t="s">
        <v>135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 t="str">
        <f>W24&amp;"-"&amp;X24</f>
        <v>4/(sem limite de km)-Standard</v>
      </c>
      <c r="W24" s="3" t="s">
        <v>495</v>
      </c>
      <c r="X24" s="3" t="s">
        <v>33</v>
      </c>
      <c r="Y24" s="7" t="s">
        <v>137</v>
      </c>
      <c r="Z24" s="3"/>
    </row>
    <row r="25" spans="1:26">
      <c r="A25" s="3">
        <v>41416</v>
      </c>
      <c r="B25" s="3" t="s">
        <v>126</v>
      </c>
      <c r="C25" s="3" t="s">
        <v>134</v>
      </c>
      <c r="D25" s="3">
        <v>41416</v>
      </c>
      <c r="E25" s="3"/>
      <c r="F25" s="3"/>
      <c r="G25" s="3" t="s">
        <v>140</v>
      </c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 t="str">
        <f t="shared" si="0"/>
        <v>4/(sem limite de km)-Plus</v>
      </c>
      <c r="W25" s="3" t="s">
        <v>495</v>
      </c>
      <c r="X25" s="3" t="s">
        <v>10</v>
      </c>
      <c r="Y25" s="7" t="s">
        <v>141</v>
      </c>
      <c r="Z25" s="3"/>
    </row>
    <row r="26" spans="1:26">
      <c r="A26" s="3">
        <v>46183</v>
      </c>
      <c r="B26" s="3" t="s">
        <v>138</v>
      </c>
      <c r="C26" s="3" t="s">
        <v>139</v>
      </c>
      <c r="D26" s="3">
        <v>46183</v>
      </c>
      <c r="E26" s="3"/>
      <c r="F26" s="3"/>
      <c r="G26" s="3" t="s">
        <v>144</v>
      </c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 t="str">
        <f t="shared" si="0"/>
        <v>6/(sem limite de km)-Standard</v>
      </c>
      <c r="W26" s="3" t="s">
        <v>496</v>
      </c>
      <c r="X26" s="3" t="s">
        <v>33</v>
      </c>
      <c r="Y26" s="7" t="s">
        <v>146</v>
      </c>
      <c r="Z26" s="3"/>
    </row>
    <row r="27" spans="1:26">
      <c r="A27" s="3">
        <v>36087</v>
      </c>
      <c r="B27" s="3" t="s">
        <v>142</v>
      </c>
      <c r="C27" s="3" t="s">
        <v>143</v>
      </c>
      <c r="D27" s="3">
        <v>36087</v>
      </c>
      <c r="E27" s="3"/>
      <c r="F27" s="3"/>
      <c r="G27" s="3" t="s">
        <v>149</v>
      </c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 t="str">
        <f t="shared" si="0"/>
        <v>6/(sem limite de km)-Plus</v>
      </c>
      <c r="W27" s="3" t="s">
        <v>496</v>
      </c>
      <c r="X27" s="3" t="s">
        <v>10</v>
      </c>
      <c r="Y27" s="7" t="s">
        <v>150</v>
      </c>
      <c r="Z27" s="3"/>
    </row>
    <row r="28" spans="1:26">
      <c r="A28" s="3">
        <v>35262</v>
      </c>
      <c r="B28" s="3" t="s">
        <v>147</v>
      </c>
      <c r="C28" s="3" t="s">
        <v>148</v>
      </c>
      <c r="D28" s="3">
        <v>35262</v>
      </c>
      <c r="E28" s="3"/>
      <c r="F28" s="3"/>
      <c r="G28" s="3" t="s">
        <v>153</v>
      </c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>
      <c r="A29" s="3">
        <v>47290</v>
      </c>
      <c r="B29" s="3" t="s">
        <v>151</v>
      </c>
      <c r="C29" s="3" t="s">
        <v>152</v>
      </c>
      <c r="D29" s="3">
        <v>47290</v>
      </c>
      <c r="E29" s="3"/>
      <c r="F29" s="3"/>
      <c r="G29" s="3" t="s">
        <v>156</v>
      </c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>
      <c r="A30" s="3">
        <v>43753</v>
      </c>
      <c r="B30" s="3" t="s">
        <v>154</v>
      </c>
      <c r="C30" s="3" t="s">
        <v>155</v>
      </c>
      <c r="D30" s="3">
        <v>43753</v>
      </c>
      <c r="E30" s="3"/>
      <c r="F30" s="3"/>
      <c r="G30" s="3" t="s">
        <v>159</v>
      </c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>
      <c r="A31" s="3">
        <v>40568</v>
      </c>
      <c r="B31" s="3" t="s">
        <v>157</v>
      </c>
      <c r="C31" s="3" t="s">
        <v>158</v>
      </c>
      <c r="D31" s="3">
        <v>40568</v>
      </c>
      <c r="E31" s="3"/>
      <c r="F31" s="3"/>
      <c r="G31" s="3" t="s">
        <v>162</v>
      </c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>
      <c r="A32" s="3">
        <v>41261</v>
      </c>
      <c r="B32" s="3" t="s">
        <v>160</v>
      </c>
      <c r="C32" s="3" t="s">
        <v>161</v>
      </c>
      <c r="D32" s="3">
        <v>41261</v>
      </c>
      <c r="E32" s="3"/>
      <c r="F32" s="3"/>
      <c r="G32" s="3" t="s">
        <v>165</v>
      </c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>
      <c r="A33" s="3">
        <v>40998</v>
      </c>
      <c r="B33" s="3" t="s">
        <v>163</v>
      </c>
      <c r="C33" s="3" t="s">
        <v>164</v>
      </c>
      <c r="D33" s="3">
        <v>40998</v>
      </c>
      <c r="E33" s="3"/>
      <c r="F33" s="3"/>
      <c r="G33" s="3" t="s">
        <v>168</v>
      </c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>
      <c r="A34" s="3">
        <v>47560</v>
      </c>
      <c r="B34" s="3" t="s">
        <v>166</v>
      </c>
      <c r="C34" s="3" t="s">
        <v>167</v>
      </c>
      <c r="D34" s="3">
        <v>47560</v>
      </c>
      <c r="E34" s="3"/>
      <c r="F34" s="3"/>
      <c r="G34" s="6" t="s">
        <v>171</v>
      </c>
      <c r="H34" s="6"/>
      <c r="I34" s="6"/>
      <c r="J34" s="6"/>
      <c r="K34" s="6"/>
      <c r="L34" s="6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>
      <c r="A35" s="3">
        <v>40484</v>
      </c>
      <c r="B35" s="3" t="s">
        <v>169</v>
      </c>
      <c r="C35" s="3" t="s">
        <v>170</v>
      </c>
      <c r="D35" s="3">
        <v>40484</v>
      </c>
      <c r="E35" s="3"/>
      <c r="F35" s="3"/>
      <c r="G35" s="6" t="s">
        <v>174</v>
      </c>
      <c r="H35" s="6"/>
      <c r="I35" s="6"/>
      <c r="J35" s="6"/>
      <c r="K35" s="6"/>
      <c r="L35" s="6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>
      <c r="A36" s="3">
        <v>50485</v>
      </c>
      <c r="B36" s="3" t="s">
        <v>172</v>
      </c>
      <c r="C36" s="3" t="s">
        <v>173</v>
      </c>
      <c r="D36" s="3">
        <v>50485</v>
      </c>
      <c r="E36" s="3"/>
      <c r="F36" s="3"/>
      <c r="G36" s="6" t="s">
        <v>177</v>
      </c>
      <c r="H36" s="6"/>
      <c r="I36" s="6"/>
      <c r="J36" s="6"/>
      <c r="K36" s="6"/>
      <c r="L36" s="6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>
      <c r="A37" s="3">
        <v>41062</v>
      </c>
      <c r="B37" s="3" t="s">
        <v>175</v>
      </c>
      <c r="C37" s="3" t="s">
        <v>176</v>
      </c>
      <c r="D37" s="3">
        <v>41062</v>
      </c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>
      <c r="A38" s="3">
        <v>43244</v>
      </c>
      <c r="B38" s="3" t="s">
        <v>178</v>
      </c>
      <c r="C38" s="3" t="s">
        <v>179</v>
      </c>
      <c r="D38" s="3">
        <v>43244</v>
      </c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>
      <c r="A39" s="3">
        <v>48563</v>
      </c>
      <c r="B39" s="3" t="s">
        <v>180</v>
      </c>
      <c r="C39" s="3" t="s">
        <v>181</v>
      </c>
      <c r="D39" s="3">
        <v>48563</v>
      </c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>
      <c r="A40" s="3">
        <v>41675</v>
      </c>
      <c r="B40" s="3" t="s">
        <v>182</v>
      </c>
      <c r="C40" s="3" t="s">
        <v>183</v>
      </c>
      <c r="D40" s="3">
        <v>41675</v>
      </c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>
      <c r="A41" s="3">
        <v>41869</v>
      </c>
      <c r="B41" s="3" t="s">
        <v>184</v>
      </c>
      <c r="C41" s="3" t="s">
        <v>185</v>
      </c>
      <c r="D41" s="3">
        <v>41869</v>
      </c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>
      <c r="A42" s="3">
        <v>25348</v>
      </c>
      <c r="B42" s="3" t="s">
        <v>186</v>
      </c>
      <c r="C42" s="3" t="s">
        <v>187</v>
      </c>
      <c r="D42" s="3">
        <v>25348</v>
      </c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>
      <c r="A43" s="3">
        <v>25405</v>
      </c>
      <c r="B43" s="3" t="s">
        <v>186</v>
      </c>
      <c r="C43" s="3" t="s">
        <v>188</v>
      </c>
      <c r="D43" s="3">
        <v>25405</v>
      </c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>
      <c r="A44" s="3">
        <v>41752</v>
      </c>
      <c r="B44" s="3" t="s">
        <v>189</v>
      </c>
      <c r="C44" s="3" t="s">
        <v>190</v>
      </c>
      <c r="D44" s="3">
        <v>41752</v>
      </c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>
      <c r="A45" s="3">
        <v>37060</v>
      </c>
      <c r="B45" s="3" t="s">
        <v>191</v>
      </c>
      <c r="C45" s="3" t="s">
        <v>192</v>
      </c>
      <c r="D45" s="3">
        <v>37060</v>
      </c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>
      <c r="A46" s="3">
        <v>48988</v>
      </c>
      <c r="B46" s="3" t="s">
        <v>193</v>
      </c>
      <c r="C46" s="3" t="s">
        <v>194</v>
      </c>
      <c r="D46" s="3">
        <v>48988</v>
      </c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>
      <c r="A47" s="3">
        <v>41267</v>
      </c>
      <c r="B47" s="3" t="s">
        <v>195</v>
      </c>
      <c r="C47" s="3" t="s">
        <v>196</v>
      </c>
      <c r="D47" s="3">
        <v>41267</v>
      </c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>
      <c r="A48" s="3">
        <v>34817</v>
      </c>
      <c r="B48" s="3" t="s">
        <v>197</v>
      </c>
      <c r="C48" s="3" t="s">
        <v>198</v>
      </c>
      <c r="D48" s="3">
        <v>34817</v>
      </c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>
      <c r="A49" s="3">
        <v>25352</v>
      </c>
      <c r="B49" s="3" t="s">
        <v>199</v>
      </c>
      <c r="C49" s="3" t="s">
        <v>200</v>
      </c>
      <c r="D49" s="3">
        <v>25352</v>
      </c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>
      <c r="A50" s="3">
        <v>44866</v>
      </c>
      <c r="B50" s="3" t="s">
        <v>201</v>
      </c>
      <c r="C50" s="3" t="s">
        <v>202</v>
      </c>
      <c r="D50" s="3">
        <v>44866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>
      <c r="A51" s="3">
        <v>48610</v>
      </c>
      <c r="B51" s="3" t="s">
        <v>203</v>
      </c>
      <c r="C51" s="3" t="s">
        <v>204</v>
      </c>
      <c r="D51" s="3">
        <v>48610</v>
      </c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>
      <c r="A52" s="3">
        <v>41403</v>
      </c>
      <c r="B52" s="3" t="s">
        <v>205</v>
      </c>
      <c r="C52" s="3" t="s">
        <v>206</v>
      </c>
      <c r="D52" s="3">
        <v>41403</v>
      </c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>
      <c r="A53" s="3">
        <v>41397</v>
      </c>
      <c r="B53" s="3" t="s">
        <v>207</v>
      </c>
      <c r="C53" s="3" t="s">
        <v>208</v>
      </c>
      <c r="D53" s="3">
        <v>41397</v>
      </c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>
      <c r="A54" s="3">
        <v>43637</v>
      </c>
      <c r="B54" s="3" t="s">
        <v>209</v>
      </c>
      <c r="C54" s="3" t="s">
        <v>210</v>
      </c>
      <c r="D54" s="3">
        <v>43637</v>
      </c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>
      <c r="A55" s="3">
        <v>41022</v>
      </c>
      <c r="B55" s="3" t="s">
        <v>211</v>
      </c>
      <c r="C55" s="3" t="s">
        <v>212</v>
      </c>
      <c r="D55" s="3">
        <v>41022</v>
      </c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>
      <c r="A56" s="3">
        <v>48612</v>
      </c>
      <c r="B56" s="3" t="s">
        <v>213</v>
      </c>
      <c r="C56" s="3" t="s">
        <v>214</v>
      </c>
      <c r="D56" s="3">
        <v>48612</v>
      </c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>
      <c r="A57" s="3">
        <v>41338</v>
      </c>
      <c r="B57" s="3" t="s">
        <v>215</v>
      </c>
      <c r="C57" s="3" t="s">
        <v>216</v>
      </c>
      <c r="D57" s="3">
        <v>41338</v>
      </c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>
      <c r="A58" s="3">
        <v>25345</v>
      </c>
      <c r="B58" s="3" t="s">
        <v>217</v>
      </c>
      <c r="C58" s="3" t="s">
        <v>218</v>
      </c>
      <c r="D58" s="3">
        <v>25345</v>
      </c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>
      <c r="A59" s="3">
        <v>44026</v>
      </c>
      <c r="B59" s="3" t="s">
        <v>217</v>
      </c>
      <c r="C59" s="3" t="s">
        <v>219</v>
      </c>
      <c r="D59" s="3">
        <v>44026</v>
      </c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>
      <c r="A60" s="3">
        <v>25401</v>
      </c>
      <c r="B60" s="3" t="s">
        <v>220</v>
      </c>
      <c r="C60" s="3" t="s">
        <v>221</v>
      </c>
      <c r="D60" s="3">
        <v>25401</v>
      </c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>
      <c r="A61" s="3">
        <v>35800</v>
      </c>
      <c r="B61" s="3" t="s">
        <v>220</v>
      </c>
      <c r="C61" s="3" t="s">
        <v>222</v>
      </c>
      <c r="D61" s="3">
        <v>35800</v>
      </c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>
      <c r="A62" s="3" t="s">
        <v>27</v>
      </c>
      <c r="B62" s="3" t="s">
        <v>26</v>
      </c>
      <c r="C62" s="3" t="s">
        <v>27</v>
      </c>
      <c r="D62" s="3">
        <v>36470</v>
      </c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>
      <c r="A63" s="3" t="s">
        <v>37</v>
      </c>
      <c r="B63" s="3" t="s">
        <v>36</v>
      </c>
      <c r="C63" s="3" t="s">
        <v>37</v>
      </c>
      <c r="D63" s="3">
        <v>25349</v>
      </c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>
      <c r="A64" s="3" t="s">
        <v>45</v>
      </c>
      <c r="B64" s="3" t="s">
        <v>44</v>
      </c>
      <c r="C64" s="3" t="s">
        <v>45</v>
      </c>
      <c r="D64" s="3">
        <v>25332</v>
      </c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>
      <c r="A65" s="3" t="s">
        <v>51</v>
      </c>
      <c r="B65" s="3" t="s">
        <v>50</v>
      </c>
      <c r="C65" s="3" t="s">
        <v>51</v>
      </c>
      <c r="D65" s="3">
        <v>25409</v>
      </c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>
      <c r="A66" s="3" t="s">
        <v>55</v>
      </c>
      <c r="B66" s="3" t="s">
        <v>54</v>
      </c>
      <c r="C66" s="3" t="s">
        <v>55</v>
      </c>
      <c r="D66" s="3">
        <v>35360</v>
      </c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>
      <c r="A67" s="3" t="s">
        <v>223</v>
      </c>
      <c r="B67" s="3" t="s">
        <v>59</v>
      </c>
      <c r="C67" s="3" t="s">
        <v>60</v>
      </c>
      <c r="D67" s="3">
        <v>25351</v>
      </c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>
      <c r="A68" s="3" t="s">
        <v>64</v>
      </c>
      <c r="B68" s="3" t="s">
        <v>63</v>
      </c>
      <c r="C68" s="3" t="s">
        <v>64</v>
      </c>
      <c r="D68" s="3">
        <v>32799</v>
      </c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>
      <c r="A69" s="3" t="s">
        <v>69</v>
      </c>
      <c r="B69" s="3" t="s">
        <v>68</v>
      </c>
      <c r="C69" s="3" t="s">
        <v>69</v>
      </c>
      <c r="D69" s="3">
        <v>41442</v>
      </c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>
      <c r="A70" s="3" t="s">
        <v>73</v>
      </c>
      <c r="B70" s="3" t="s">
        <v>72</v>
      </c>
      <c r="C70" s="3" t="s">
        <v>73</v>
      </c>
      <c r="D70" s="3">
        <v>49124</v>
      </c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>
      <c r="A71" s="3" t="s">
        <v>78</v>
      </c>
      <c r="B71" s="3" t="s">
        <v>77</v>
      </c>
      <c r="C71" s="3" t="s">
        <v>78</v>
      </c>
      <c r="D71" s="3">
        <v>43755</v>
      </c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>
      <c r="A72" s="3" t="s">
        <v>82</v>
      </c>
      <c r="B72" s="3" t="s">
        <v>81</v>
      </c>
      <c r="C72" s="3" t="s">
        <v>82</v>
      </c>
      <c r="D72" s="3">
        <v>35282</v>
      </c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>
      <c r="A73" s="3" t="s">
        <v>87</v>
      </c>
      <c r="B73" s="3" t="s">
        <v>86</v>
      </c>
      <c r="C73" s="3" t="s">
        <v>87</v>
      </c>
      <c r="D73" s="3">
        <v>33690</v>
      </c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>
      <c r="A74" s="3" t="s">
        <v>91</v>
      </c>
      <c r="B74" s="3" t="s">
        <v>90</v>
      </c>
      <c r="C74" s="3" t="s">
        <v>91</v>
      </c>
      <c r="D74" s="3">
        <v>33458</v>
      </c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>
      <c r="A75" s="3" t="s">
        <v>96</v>
      </c>
      <c r="B75" s="3" t="s">
        <v>95</v>
      </c>
      <c r="C75" s="3" t="s">
        <v>96</v>
      </c>
      <c r="D75" s="3">
        <v>43577</v>
      </c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>
      <c r="A76" s="3" t="s">
        <v>100</v>
      </c>
      <c r="B76" s="3" t="s">
        <v>99</v>
      </c>
      <c r="C76" s="3" t="s">
        <v>100</v>
      </c>
      <c r="D76" s="3">
        <v>32008</v>
      </c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>
      <c r="A77" s="3" t="s">
        <v>105</v>
      </c>
      <c r="B77" s="3" t="s">
        <v>104</v>
      </c>
      <c r="C77" s="3" t="s">
        <v>105</v>
      </c>
      <c r="D77" s="3">
        <v>32017</v>
      </c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>
      <c r="A78" s="3" t="s">
        <v>109</v>
      </c>
      <c r="B78" s="3" t="s">
        <v>108</v>
      </c>
      <c r="C78" s="3" t="s">
        <v>109</v>
      </c>
      <c r="D78" s="3">
        <v>32007</v>
      </c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>
      <c r="A79" s="3" t="s">
        <v>114</v>
      </c>
      <c r="B79" s="3" t="s">
        <v>328</v>
      </c>
      <c r="C79" s="3" t="s">
        <v>114</v>
      </c>
      <c r="D79" s="3">
        <v>43371</v>
      </c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>
      <c r="A80" s="3" t="s">
        <v>329</v>
      </c>
      <c r="B80" s="3" t="s">
        <v>327</v>
      </c>
      <c r="C80" s="3" t="s">
        <v>329</v>
      </c>
      <c r="D80" s="3">
        <v>50862</v>
      </c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>
      <c r="A81" s="3" t="s">
        <v>118</v>
      </c>
      <c r="B81" s="3" t="s">
        <v>117</v>
      </c>
      <c r="C81" s="3" t="s">
        <v>118</v>
      </c>
      <c r="D81" s="3">
        <v>45766</v>
      </c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>
      <c r="A82" s="3" t="s">
        <v>123</v>
      </c>
      <c r="B82" s="3" t="s">
        <v>122</v>
      </c>
      <c r="C82" s="3" t="s">
        <v>123</v>
      </c>
      <c r="D82" s="3">
        <v>25921</v>
      </c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>
      <c r="A83" s="3" t="s">
        <v>127</v>
      </c>
      <c r="B83" s="3" t="s">
        <v>126</v>
      </c>
      <c r="C83" s="3" t="s">
        <v>127</v>
      </c>
      <c r="D83" s="3">
        <v>25336</v>
      </c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>
      <c r="A84" s="3" t="s">
        <v>131</v>
      </c>
      <c r="B84" s="3" t="s">
        <v>126</v>
      </c>
      <c r="C84" s="3" t="s">
        <v>131</v>
      </c>
      <c r="D84" s="3">
        <v>36646</v>
      </c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>
      <c r="A85" s="3" t="s">
        <v>134</v>
      </c>
      <c r="B85" s="3" t="s">
        <v>126</v>
      </c>
      <c r="C85" s="3" t="s">
        <v>134</v>
      </c>
      <c r="D85" s="3">
        <v>41416</v>
      </c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>
      <c r="A86" s="3" t="s">
        <v>139</v>
      </c>
      <c r="B86" s="3" t="s">
        <v>138</v>
      </c>
      <c r="C86" s="3" t="s">
        <v>139</v>
      </c>
      <c r="D86" s="3">
        <v>46183</v>
      </c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>
      <c r="A87" s="3" t="s">
        <v>143</v>
      </c>
      <c r="B87" s="3" t="s">
        <v>142</v>
      </c>
      <c r="C87" s="3" t="s">
        <v>143</v>
      </c>
      <c r="D87" s="3">
        <v>36087</v>
      </c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>
      <c r="A88" s="3" t="s">
        <v>148</v>
      </c>
      <c r="B88" s="3" t="s">
        <v>147</v>
      </c>
      <c r="C88" s="3" t="s">
        <v>148</v>
      </c>
      <c r="D88" s="3">
        <v>35262</v>
      </c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>
      <c r="A89" s="3" t="s">
        <v>152</v>
      </c>
      <c r="B89" s="3" t="s">
        <v>151</v>
      </c>
      <c r="C89" s="3" t="s">
        <v>152</v>
      </c>
      <c r="D89" s="3">
        <v>47290</v>
      </c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>
      <c r="A90" s="3" t="s">
        <v>155</v>
      </c>
      <c r="B90" s="3" t="s">
        <v>154</v>
      </c>
      <c r="C90" s="3" t="s">
        <v>155</v>
      </c>
      <c r="D90" s="3">
        <v>43753</v>
      </c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>
      <c r="A91" s="3" t="s">
        <v>158</v>
      </c>
      <c r="B91" s="3" t="s">
        <v>157</v>
      </c>
      <c r="C91" s="3" t="s">
        <v>158</v>
      </c>
      <c r="D91" s="3">
        <v>40568</v>
      </c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>
      <c r="A92" s="3" t="s">
        <v>161</v>
      </c>
      <c r="B92" s="3" t="s">
        <v>160</v>
      </c>
      <c r="C92" s="3" t="s">
        <v>161</v>
      </c>
      <c r="D92" s="3">
        <v>41261</v>
      </c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>
      <c r="A93" s="3" t="s">
        <v>164</v>
      </c>
      <c r="B93" s="3" t="s">
        <v>163</v>
      </c>
      <c r="C93" s="3" t="s">
        <v>164</v>
      </c>
      <c r="D93" s="3">
        <v>40998</v>
      </c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>
      <c r="A94" s="3" t="s">
        <v>167</v>
      </c>
      <c r="B94" s="3" t="s">
        <v>166</v>
      </c>
      <c r="C94" s="3" t="s">
        <v>167</v>
      </c>
      <c r="D94" s="3">
        <v>47560</v>
      </c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>
      <c r="A95" s="3" t="s">
        <v>170</v>
      </c>
      <c r="B95" s="3" t="s">
        <v>169</v>
      </c>
      <c r="C95" s="3" t="s">
        <v>170</v>
      </c>
      <c r="D95" s="3">
        <v>40484</v>
      </c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>
      <c r="A96" s="3" t="s">
        <v>173</v>
      </c>
      <c r="B96" s="3" t="s">
        <v>172</v>
      </c>
      <c r="C96" s="3" t="s">
        <v>173</v>
      </c>
      <c r="D96" s="3">
        <v>50485</v>
      </c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>
      <c r="A97" s="3" t="s">
        <v>176</v>
      </c>
      <c r="B97" s="3" t="s">
        <v>175</v>
      </c>
      <c r="C97" s="3" t="s">
        <v>176</v>
      </c>
      <c r="D97" s="3">
        <v>41062</v>
      </c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>
      <c r="A98" s="3" t="s">
        <v>179</v>
      </c>
      <c r="B98" s="3" t="s">
        <v>178</v>
      </c>
      <c r="C98" s="3" t="s">
        <v>179</v>
      </c>
      <c r="D98" s="3">
        <v>43244</v>
      </c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>
      <c r="A99" s="3" t="s">
        <v>181</v>
      </c>
      <c r="B99" s="3" t="s">
        <v>180</v>
      </c>
      <c r="C99" s="3" t="s">
        <v>181</v>
      </c>
      <c r="D99" s="3">
        <v>48563</v>
      </c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>
      <c r="A100" s="3" t="s">
        <v>183</v>
      </c>
      <c r="B100" s="3" t="s">
        <v>182</v>
      </c>
      <c r="C100" s="3" t="s">
        <v>183</v>
      </c>
      <c r="D100" s="3">
        <v>41675</v>
      </c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>
      <c r="A101" s="3" t="s">
        <v>185</v>
      </c>
      <c r="B101" s="3" t="s">
        <v>184</v>
      </c>
      <c r="C101" s="3" t="s">
        <v>185</v>
      </c>
      <c r="D101" s="3">
        <v>41869</v>
      </c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>
      <c r="A102" s="3" t="s">
        <v>187</v>
      </c>
      <c r="B102" s="3" t="s">
        <v>186</v>
      </c>
      <c r="C102" s="3" t="s">
        <v>187</v>
      </c>
      <c r="D102" s="3">
        <v>25348</v>
      </c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>
      <c r="A103" s="3" t="s">
        <v>188</v>
      </c>
      <c r="B103" s="3" t="s">
        <v>186</v>
      </c>
      <c r="C103" s="3" t="s">
        <v>188</v>
      </c>
      <c r="D103" s="3">
        <v>25405</v>
      </c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>
      <c r="A104" s="3" t="s">
        <v>190</v>
      </c>
      <c r="B104" s="3" t="s">
        <v>189</v>
      </c>
      <c r="C104" s="3" t="s">
        <v>190</v>
      </c>
      <c r="D104" s="3">
        <v>41752</v>
      </c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>
      <c r="A105" s="3" t="s">
        <v>192</v>
      </c>
      <c r="B105" s="3" t="s">
        <v>191</v>
      </c>
      <c r="C105" s="3" t="s">
        <v>192</v>
      </c>
      <c r="D105" s="3">
        <v>37060</v>
      </c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>
      <c r="A106" s="3" t="s">
        <v>194</v>
      </c>
      <c r="B106" s="3" t="s">
        <v>193</v>
      </c>
      <c r="C106" s="3" t="s">
        <v>194</v>
      </c>
      <c r="D106" s="3">
        <v>48988</v>
      </c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>
      <c r="A107" s="3" t="s">
        <v>196</v>
      </c>
      <c r="B107" s="3" t="s">
        <v>195</v>
      </c>
      <c r="C107" s="3" t="s">
        <v>196</v>
      </c>
      <c r="D107" s="3">
        <v>41267</v>
      </c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>
      <c r="A108" s="3" t="s">
        <v>198</v>
      </c>
      <c r="B108" s="3" t="s">
        <v>197</v>
      </c>
      <c r="C108" s="3" t="s">
        <v>198</v>
      </c>
      <c r="D108" s="3">
        <v>34817</v>
      </c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>
      <c r="A109" s="3" t="s">
        <v>200</v>
      </c>
      <c r="B109" s="3" t="s">
        <v>199</v>
      </c>
      <c r="C109" s="3" t="s">
        <v>200</v>
      </c>
      <c r="D109" s="3">
        <v>25352</v>
      </c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>
      <c r="A110" s="3" t="s">
        <v>202</v>
      </c>
      <c r="B110" s="3" t="s">
        <v>201</v>
      </c>
      <c r="C110" s="3" t="s">
        <v>202</v>
      </c>
      <c r="D110" s="3">
        <v>44866</v>
      </c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>
      <c r="A111" s="3" t="s">
        <v>204</v>
      </c>
      <c r="B111" s="3" t="s">
        <v>203</v>
      </c>
      <c r="C111" s="3" t="s">
        <v>204</v>
      </c>
      <c r="D111" s="3">
        <v>48610</v>
      </c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>
      <c r="A112" s="3" t="s">
        <v>206</v>
      </c>
      <c r="B112" s="3" t="s">
        <v>205</v>
      </c>
      <c r="C112" s="3" t="s">
        <v>206</v>
      </c>
      <c r="D112" s="3">
        <v>41403</v>
      </c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>
      <c r="A113" s="3" t="s">
        <v>208</v>
      </c>
      <c r="B113" s="3" t="s">
        <v>207</v>
      </c>
      <c r="C113" s="3" t="s">
        <v>208</v>
      </c>
      <c r="D113" s="3">
        <v>41397</v>
      </c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>
      <c r="A114" s="3" t="s">
        <v>210</v>
      </c>
      <c r="B114" s="3" t="s">
        <v>209</v>
      </c>
      <c r="C114" s="3" t="s">
        <v>210</v>
      </c>
      <c r="D114" s="3">
        <v>43637</v>
      </c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>
      <c r="A115" s="3" t="s">
        <v>212</v>
      </c>
      <c r="B115" s="3" t="s">
        <v>211</v>
      </c>
      <c r="C115" s="3" t="s">
        <v>212</v>
      </c>
      <c r="D115" s="3">
        <v>41022</v>
      </c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>
      <c r="A116" s="3" t="s">
        <v>214</v>
      </c>
      <c r="B116" s="3" t="s">
        <v>213</v>
      </c>
      <c r="C116" s="3" t="s">
        <v>214</v>
      </c>
      <c r="D116" s="3">
        <v>48612</v>
      </c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>
      <c r="A117" s="3" t="s">
        <v>216</v>
      </c>
      <c r="B117" s="3" t="s">
        <v>215</v>
      </c>
      <c r="C117" s="3" t="s">
        <v>216</v>
      </c>
      <c r="D117" s="3">
        <v>41338</v>
      </c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>
      <c r="A118" s="3" t="s">
        <v>218</v>
      </c>
      <c r="B118" s="3" t="s">
        <v>217</v>
      </c>
      <c r="C118" s="3" t="s">
        <v>218</v>
      </c>
      <c r="D118" s="3">
        <v>25345</v>
      </c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>
      <c r="A119" s="3" t="s">
        <v>219</v>
      </c>
      <c r="B119" s="3" t="s">
        <v>217</v>
      </c>
      <c r="C119" s="3" t="s">
        <v>219</v>
      </c>
      <c r="D119" s="3">
        <v>44026</v>
      </c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>
      <c r="A120" s="3" t="s">
        <v>221</v>
      </c>
      <c r="B120" s="3" t="s">
        <v>220</v>
      </c>
      <c r="C120" s="3" t="s">
        <v>221</v>
      </c>
      <c r="D120" s="3">
        <v>25401</v>
      </c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>
      <c r="A121" s="3" t="s">
        <v>222</v>
      </c>
      <c r="B121" s="3" t="s">
        <v>220</v>
      </c>
      <c r="C121" s="3" t="s">
        <v>222</v>
      </c>
      <c r="D121" s="3">
        <v>35800</v>
      </c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>
      <c r="A122" s="8">
        <v>3338422000402</v>
      </c>
      <c r="B122" s="3" t="s">
        <v>26</v>
      </c>
      <c r="C122" s="3" t="s">
        <v>27</v>
      </c>
      <c r="D122" s="8">
        <v>36470</v>
      </c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>
      <c r="A123" s="8">
        <v>3338422000160</v>
      </c>
      <c r="B123" s="3" t="s">
        <v>36</v>
      </c>
      <c r="C123" s="3" t="s">
        <v>37</v>
      </c>
      <c r="D123" s="8">
        <v>25349</v>
      </c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>
      <c r="A124" s="8">
        <v>42307884000171</v>
      </c>
      <c r="B124" s="3" t="s">
        <v>44</v>
      </c>
      <c r="C124" s="3" t="s">
        <v>45</v>
      </c>
      <c r="D124" s="8">
        <v>25332</v>
      </c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>
      <c r="A125" s="8">
        <v>68976091000210</v>
      </c>
      <c r="B125" s="3" t="s">
        <v>50</v>
      </c>
      <c r="C125" s="3" t="s">
        <v>51</v>
      </c>
      <c r="D125" s="8">
        <v>25409</v>
      </c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>
      <c r="A126" s="8">
        <v>68976091001453</v>
      </c>
      <c r="B126" s="3" t="s">
        <v>54</v>
      </c>
      <c r="C126" s="3" t="s">
        <v>55</v>
      </c>
      <c r="D126" s="8">
        <v>35360</v>
      </c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>
      <c r="A127" s="8" t="s">
        <v>224</v>
      </c>
      <c r="B127" s="3" t="s">
        <v>59</v>
      </c>
      <c r="C127" s="3" t="s">
        <v>60</v>
      </c>
      <c r="D127" s="8">
        <v>25351</v>
      </c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>
      <c r="A128" s="8">
        <v>68976091000643</v>
      </c>
      <c r="B128" s="3" t="s">
        <v>63</v>
      </c>
      <c r="C128" s="3" t="s">
        <v>64</v>
      </c>
      <c r="D128" s="8">
        <v>32799</v>
      </c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>
      <c r="A129" s="8">
        <v>9602000000136</v>
      </c>
      <c r="B129" s="3" t="s">
        <v>68</v>
      </c>
      <c r="C129" s="3" t="s">
        <v>69</v>
      </c>
      <c r="D129" s="8">
        <v>41442</v>
      </c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>
      <c r="A130" s="8">
        <v>35875630000194</v>
      </c>
      <c r="B130" s="3" t="s">
        <v>72</v>
      </c>
      <c r="C130" s="3" t="s">
        <v>73</v>
      </c>
      <c r="D130" s="8">
        <v>49124</v>
      </c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>
      <c r="A131" s="8">
        <v>23746672000146</v>
      </c>
      <c r="B131" s="3" t="s">
        <v>77</v>
      </c>
      <c r="C131" s="3" t="s">
        <v>78</v>
      </c>
      <c r="D131" s="8">
        <v>43755</v>
      </c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>
      <c r="A132" s="8">
        <v>11634677000106</v>
      </c>
      <c r="B132" s="3" t="s">
        <v>81</v>
      </c>
      <c r="C132" s="3" t="s">
        <v>82</v>
      </c>
      <c r="D132" s="8">
        <v>35282</v>
      </c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>
      <c r="A133" s="8">
        <v>7598420000160</v>
      </c>
      <c r="B133" s="3" t="s">
        <v>86</v>
      </c>
      <c r="C133" s="3" t="s">
        <v>87</v>
      </c>
      <c r="D133" s="8">
        <v>33690</v>
      </c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>
      <c r="A134" s="8">
        <v>8964646000281</v>
      </c>
      <c r="B134" s="3" t="s">
        <v>90</v>
      </c>
      <c r="C134" s="3" t="s">
        <v>91</v>
      </c>
      <c r="D134" s="8">
        <v>33458</v>
      </c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>
      <c r="A135" s="8">
        <v>5385004000582</v>
      </c>
      <c r="B135" s="3" t="s">
        <v>95</v>
      </c>
      <c r="C135" s="3" t="s">
        <v>96</v>
      </c>
      <c r="D135" s="8">
        <v>43577</v>
      </c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>
      <c r="A136" s="8">
        <v>8964646000109</v>
      </c>
      <c r="B136" s="3" t="s">
        <v>99</v>
      </c>
      <c r="C136" s="3" t="s">
        <v>100</v>
      </c>
      <c r="D136" s="8">
        <v>32008</v>
      </c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>
      <c r="A137" s="8">
        <v>5385004000230</v>
      </c>
      <c r="B137" s="3" t="s">
        <v>104</v>
      </c>
      <c r="C137" s="3" t="s">
        <v>105</v>
      </c>
      <c r="D137" s="8">
        <v>32017</v>
      </c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>
      <c r="A138" s="8">
        <v>5385004000159</v>
      </c>
      <c r="B138" s="3" t="s">
        <v>108</v>
      </c>
      <c r="C138" s="3" t="s">
        <v>109</v>
      </c>
      <c r="D138" s="8">
        <v>32007</v>
      </c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>
      <c r="A139" s="8">
        <v>22617332000233</v>
      </c>
      <c r="B139" s="3" t="s">
        <v>113</v>
      </c>
      <c r="C139" s="3" t="s">
        <v>114</v>
      </c>
      <c r="D139" s="8">
        <v>43371</v>
      </c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>
      <c r="A140" s="8">
        <v>24209277000197</v>
      </c>
      <c r="B140" s="3" t="s">
        <v>117</v>
      </c>
      <c r="C140" s="3" t="s">
        <v>118</v>
      </c>
      <c r="D140" s="8">
        <v>45766</v>
      </c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>
      <c r="A141" s="8">
        <v>4871143000120</v>
      </c>
      <c r="B141" s="3" t="s">
        <v>122</v>
      </c>
      <c r="C141" s="3" t="s">
        <v>123</v>
      </c>
      <c r="D141" s="8">
        <v>25921</v>
      </c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>
      <c r="A142" s="8">
        <v>416863000144</v>
      </c>
      <c r="B142" s="3" t="s">
        <v>126</v>
      </c>
      <c r="C142" s="3" t="s">
        <v>127</v>
      </c>
      <c r="D142" s="8">
        <v>25336</v>
      </c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>
      <c r="A143" s="8">
        <v>416863000497</v>
      </c>
      <c r="B143" s="3" t="s">
        <v>126</v>
      </c>
      <c r="C143" s="3" t="s">
        <v>131</v>
      </c>
      <c r="D143" s="8">
        <v>36646</v>
      </c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>
      <c r="A144" s="8">
        <v>416863000730</v>
      </c>
      <c r="B144" s="3" t="s">
        <v>126</v>
      </c>
      <c r="C144" s="3" t="s">
        <v>134</v>
      </c>
      <c r="D144" s="8">
        <v>41416</v>
      </c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>
      <c r="A145" s="8">
        <v>11038780000185</v>
      </c>
      <c r="B145" s="3" t="s">
        <v>138</v>
      </c>
      <c r="C145" s="3" t="s">
        <v>139</v>
      </c>
      <c r="D145" s="8">
        <v>46183</v>
      </c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>
      <c r="A146" s="8">
        <v>416863000578</v>
      </c>
      <c r="B146" s="3" t="s">
        <v>142</v>
      </c>
      <c r="C146" s="3" t="s">
        <v>143</v>
      </c>
      <c r="D146" s="8">
        <v>36087</v>
      </c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>
      <c r="A147" s="8">
        <v>11510710000188</v>
      </c>
      <c r="B147" s="3" t="s">
        <v>147</v>
      </c>
      <c r="C147" s="3" t="s">
        <v>148</v>
      </c>
      <c r="D147" s="8">
        <v>35262</v>
      </c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>
      <c r="A148" s="8">
        <v>18116436000378</v>
      </c>
      <c r="B148" s="3" t="s">
        <v>151</v>
      </c>
      <c r="C148" s="3" t="s">
        <v>152</v>
      </c>
      <c r="D148" s="8">
        <v>47290</v>
      </c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>
      <c r="A149" s="8">
        <v>18116436000297</v>
      </c>
      <c r="B149" s="3" t="s">
        <v>154</v>
      </c>
      <c r="C149" s="3" t="s">
        <v>155</v>
      </c>
      <c r="D149" s="8">
        <v>43753</v>
      </c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>
      <c r="A150" s="8">
        <v>18116436000106</v>
      </c>
      <c r="B150" s="3" t="s">
        <v>157</v>
      </c>
      <c r="C150" s="3" t="s">
        <v>158</v>
      </c>
      <c r="D150" s="8">
        <v>40568</v>
      </c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>
      <c r="A151" s="8">
        <v>1291387000579</v>
      </c>
      <c r="B151" s="3" t="s">
        <v>160</v>
      </c>
      <c r="C151" s="3" t="s">
        <v>161</v>
      </c>
      <c r="D151" s="8">
        <v>41261</v>
      </c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>
      <c r="A152" s="8">
        <v>1291387000650</v>
      </c>
      <c r="B152" s="3" t="s">
        <v>163</v>
      </c>
      <c r="C152" s="3" t="s">
        <v>164</v>
      </c>
      <c r="D152" s="8">
        <v>40998</v>
      </c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>
      <c r="A153" s="8">
        <v>19318040000295</v>
      </c>
      <c r="B153" s="3" t="s">
        <v>166</v>
      </c>
      <c r="C153" s="3" t="s">
        <v>167</v>
      </c>
      <c r="D153" s="8">
        <v>47560</v>
      </c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>
      <c r="A154" s="8">
        <v>19318040000104</v>
      </c>
      <c r="B154" s="3" t="s">
        <v>169</v>
      </c>
      <c r="C154" s="3" t="s">
        <v>170</v>
      </c>
      <c r="D154" s="8">
        <v>40484</v>
      </c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>
      <c r="A155" s="8">
        <v>19318040000376</v>
      </c>
      <c r="B155" s="3" t="s">
        <v>225</v>
      </c>
      <c r="C155" s="3" t="s">
        <v>173</v>
      </c>
      <c r="D155" s="8">
        <v>50485</v>
      </c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>
      <c r="A156" s="8">
        <v>20491112000108</v>
      </c>
      <c r="B156" s="3" t="s">
        <v>175</v>
      </c>
      <c r="C156" s="3" t="s">
        <v>176</v>
      </c>
      <c r="D156" s="8">
        <v>41062</v>
      </c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>
      <c r="A157" s="8">
        <v>20491112000361</v>
      </c>
      <c r="B157" s="3" t="s">
        <v>178</v>
      </c>
      <c r="C157" s="3" t="s">
        <v>179</v>
      </c>
      <c r="D157" s="8">
        <v>43244</v>
      </c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>
      <c r="A158" s="8">
        <v>20491112000604</v>
      </c>
      <c r="B158" s="3" t="s">
        <v>180</v>
      </c>
      <c r="C158" s="3" t="s">
        <v>181</v>
      </c>
      <c r="D158" s="8">
        <v>48563</v>
      </c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>
      <c r="A159" s="8">
        <v>20491112000442</v>
      </c>
      <c r="B159" s="3" t="s">
        <v>182</v>
      </c>
      <c r="C159" s="3" t="s">
        <v>183</v>
      </c>
      <c r="D159" s="8">
        <v>41675</v>
      </c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>
      <c r="A160" s="8">
        <v>20813800000139</v>
      </c>
      <c r="B160" s="3" t="s">
        <v>184</v>
      </c>
      <c r="C160" s="3" t="s">
        <v>185</v>
      </c>
      <c r="D160" s="8">
        <v>41869</v>
      </c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>
      <c r="A161" s="8">
        <v>72912934000100</v>
      </c>
      <c r="B161" s="3" t="s">
        <v>186</v>
      </c>
      <c r="C161" s="3" t="s">
        <v>187</v>
      </c>
      <c r="D161" s="8">
        <v>25348</v>
      </c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>
      <c r="A162" s="8">
        <v>72912934000291</v>
      </c>
      <c r="B162" s="3" t="s">
        <v>186</v>
      </c>
      <c r="C162" s="3" t="s">
        <v>188</v>
      </c>
      <c r="D162" s="8">
        <v>25405</v>
      </c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>
      <c r="A163" s="8">
        <v>14531527000319</v>
      </c>
      <c r="B163" s="3" t="s">
        <v>189</v>
      </c>
      <c r="C163" s="3" t="s">
        <v>190</v>
      </c>
      <c r="D163" s="8">
        <v>41752</v>
      </c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>
      <c r="A164" s="8">
        <v>4625102000587</v>
      </c>
      <c r="B164" s="3" t="s">
        <v>191</v>
      </c>
      <c r="C164" s="3" t="s">
        <v>192</v>
      </c>
      <c r="D164" s="8">
        <v>37060</v>
      </c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>
      <c r="A165" s="8">
        <v>4625102000820</v>
      </c>
      <c r="B165" s="3" t="s">
        <v>193</v>
      </c>
      <c r="C165" s="3" t="s">
        <v>194</v>
      </c>
      <c r="D165" s="8">
        <v>48988</v>
      </c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>
      <c r="A166" s="8">
        <v>4625102000668</v>
      </c>
      <c r="B166" s="3" t="s">
        <v>195</v>
      </c>
      <c r="C166" s="3" t="s">
        <v>196</v>
      </c>
      <c r="D166" s="8">
        <v>41267</v>
      </c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>
      <c r="A167" s="8">
        <v>4625102000404</v>
      </c>
      <c r="B167" s="3" t="s">
        <v>197</v>
      </c>
      <c r="C167" s="3" t="s">
        <v>198</v>
      </c>
      <c r="D167" s="8">
        <v>34817</v>
      </c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>
      <c r="A168" s="8">
        <v>4625102000153</v>
      </c>
      <c r="B168" s="3" t="s">
        <v>199</v>
      </c>
      <c r="C168" s="3" t="s">
        <v>200</v>
      </c>
      <c r="D168" s="8">
        <v>25352</v>
      </c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>
      <c r="A169" s="8">
        <v>7083712001485</v>
      </c>
      <c r="B169" s="3" t="s">
        <v>201</v>
      </c>
      <c r="C169" s="3" t="s">
        <v>202</v>
      </c>
      <c r="D169" s="8">
        <v>44866</v>
      </c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>
      <c r="A170" s="8">
        <v>7083712001647</v>
      </c>
      <c r="B170" s="3" t="s">
        <v>203</v>
      </c>
      <c r="C170" s="3" t="s">
        <v>204</v>
      </c>
      <c r="D170" s="8">
        <v>48610</v>
      </c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>
      <c r="A171" s="8">
        <v>19314847000250</v>
      </c>
      <c r="B171" s="3" t="s">
        <v>205</v>
      </c>
      <c r="C171" s="3" t="s">
        <v>206</v>
      </c>
      <c r="D171" s="8">
        <v>41403</v>
      </c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>
      <c r="A172" s="8">
        <v>19314847000179</v>
      </c>
      <c r="B172" s="3" t="s">
        <v>207</v>
      </c>
      <c r="C172" s="3" t="s">
        <v>208</v>
      </c>
      <c r="D172" s="8">
        <v>41397</v>
      </c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>
      <c r="A173" s="8">
        <v>19314847000500</v>
      </c>
      <c r="B173" s="3" t="s">
        <v>209</v>
      </c>
      <c r="C173" s="3" t="s">
        <v>210</v>
      </c>
      <c r="D173" s="8">
        <v>43637</v>
      </c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>
      <c r="A174" s="8">
        <v>9470230000512</v>
      </c>
      <c r="B174" s="3" t="s">
        <v>211</v>
      </c>
      <c r="C174" s="3" t="s">
        <v>212</v>
      </c>
      <c r="D174" s="8">
        <v>41022</v>
      </c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>
      <c r="A175" s="8">
        <v>34758324000105</v>
      </c>
      <c r="B175" s="3" t="s">
        <v>213</v>
      </c>
      <c r="C175" s="3" t="s">
        <v>214</v>
      </c>
      <c r="D175" s="8">
        <v>48612</v>
      </c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>
      <c r="A176" s="8">
        <v>20374616000130</v>
      </c>
      <c r="B176" s="3" t="s">
        <v>215</v>
      </c>
      <c r="C176" s="3" t="s">
        <v>216</v>
      </c>
      <c r="D176" s="8">
        <v>41338</v>
      </c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>
      <c r="A177" s="8">
        <v>2507162000146</v>
      </c>
      <c r="B177" s="3" t="s">
        <v>217</v>
      </c>
      <c r="C177" s="3" t="s">
        <v>218</v>
      </c>
      <c r="D177" s="8">
        <v>25345</v>
      </c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>
      <c r="A178" s="8">
        <v>2507162000570</v>
      </c>
      <c r="B178" s="3" t="s">
        <v>217</v>
      </c>
      <c r="C178" s="3" t="s">
        <v>219</v>
      </c>
      <c r="D178" s="8">
        <v>44026</v>
      </c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>
      <c r="A179" s="8">
        <v>2507162000308</v>
      </c>
      <c r="B179" s="3" t="s">
        <v>220</v>
      </c>
      <c r="C179" s="3" t="s">
        <v>221</v>
      </c>
      <c r="D179" s="8">
        <v>25401</v>
      </c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>
      <c r="A180" s="8">
        <v>2507162000650</v>
      </c>
      <c r="B180" s="3" t="s">
        <v>220</v>
      </c>
      <c r="C180" s="3" t="s">
        <v>222</v>
      </c>
      <c r="D180" s="8">
        <v>35800</v>
      </c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>
      <c r="A181" s="3">
        <v>35657</v>
      </c>
      <c r="B181" s="3" t="s">
        <v>226</v>
      </c>
      <c r="C181" s="3" t="s">
        <v>227</v>
      </c>
      <c r="D181" s="3">
        <v>35657</v>
      </c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>
      <c r="A182" s="3">
        <v>32316</v>
      </c>
      <c r="B182" s="3" t="s">
        <v>86</v>
      </c>
      <c r="C182" s="3" t="s">
        <v>228</v>
      </c>
      <c r="D182" s="3">
        <v>32316</v>
      </c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>
      <c r="A183" s="3">
        <v>44887</v>
      </c>
      <c r="B183" s="3" t="s">
        <v>90</v>
      </c>
      <c r="C183" s="3" t="s">
        <v>229</v>
      </c>
      <c r="D183" s="3">
        <v>44887</v>
      </c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>
      <c r="A184" s="3">
        <v>38824</v>
      </c>
      <c r="B184" s="3" t="s">
        <v>99</v>
      </c>
      <c r="C184" s="3" t="s">
        <v>230</v>
      </c>
      <c r="D184" s="3">
        <v>38824</v>
      </c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>
      <c r="A185" s="3">
        <v>47940</v>
      </c>
      <c r="B185" s="3" t="s">
        <v>231</v>
      </c>
      <c r="C185" s="3" t="s">
        <v>232</v>
      </c>
      <c r="D185" s="3">
        <v>47940</v>
      </c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>
      <c r="A186" s="3">
        <v>38433</v>
      </c>
      <c r="B186" s="3" t="s">
        <v>233</v>
      </c>
      <c r="C186" s="3" t="s">
        <v>234</v>
      </c>
      <c r="D186" s="3">
        <v>38433</v>
      </c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>
      <c r="A187" s="3">
        <v>25410</v>
      </c>
      <c r="B187" s="3" t="s">
        <v>199</v>
      </c>
      <c r="C187" s="3" t="s">
        <v>235</v>
      </c>
      <c r="D187" s="3">
        <v>25410</v>
      </c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>
      <c r="A188" s="3">
        <v>38913</v>
      </c>
      <c r="B188" s="3" t="s">
        <v>236</v>
      </c>
      <c r="C188" s="3" t="s">
        <v>237</v>
      </c>
      <c r="D188" s="3">
        <v>38913</v>
      </c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>
      <c r="A189" s="3">
        <v>36934</v>
      </c>
      <c r="B189" s="3" t="s">
        <v>238</v>
      </c>
      <c r="C189" s="3" t="s">
        <v>239</v>
      </c>
      <c r="D189" s="3">
        <v>36934</v>
      </c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>
      <c r="A190" s="3">
        <v>43720</v>
      </c>
      <c r="B190" s="3" t="s">
        <v>215</v>
      </c>
      <c r="C190" s="3" t="s">
        <v>240</v>
      </c>
      <c r="D190" s="3">
        <v>43720</v>
      </c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>
      <c r="A191" s="3">
        <v>25341</v>
      </c>
      <c r="B191" s="3" t="s">
        <v>241</v>
      </c>
      <c r="C191" s="3" t="s">
        <v>242</v>
      </c>
      <c r="D191" s="3">
        <v>25341</v>
      </c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>
      <c r="A192" s="3" t="s">
        <v>227</v>
      </c>
      <c r="B192" s="3" t="s">
        <v>226</v>
      </c>
      <c r="C192" s="3" t="s">
        <v>227</v>
      </c>
      <c r="D192" s="3">
        <v>35657</v>
      </c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>
      <c r="A193" s="3" t="s">
        <v>228</v>
      </c>
      <c r="B193" s="3" t="s">
        <v>86</v>
      </c>
      <c r="C193" s="3" t="s">
        <v>228</v>
      </c>
      <c r="D193" s="3">
        <v>32316</v>
      </c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>
      <c r="A194" s="3" t="s">
        <v>229</v>
      </c>
      <c r="B194" s="3" t="s">
        <v>90</v>
      </c>
      <c r="C194" s="3" t="s">
        <v>229</v>
      </c>
      <c r="D194" s="3">
        <v>44887</v>
      </c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>
      <c r="A195" s="3" t="s">
        <v>230</v>
      </c>
      <c r="B195" s="3" t="s">
        <v>99</v>
      </c>
      <c r="C195" s="3" t="s">
        <v>230</v>
      </c>
      <c r="D195" s="3">
        <v>38824</v>
      </c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>
      <c r="A196" s="3" t="s">
        <v>232</v>
      </c>
      <c r="B196" s="3" t="s">
        <v>231</v>
      </c>
      <c r="C196" s="3" t="s">
        <v>232</v>
      </c>
      <c r="D196" s="3">
        <v>47940</v>
      </c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>
      <c r="A197" s="3" t="s">
        <v>234</v>
      </c>
      <c r="B197" s="3" t="s">
        <v>233</v>
      </c>
      <c r="C197" s="3" t="s">
        <v>234</v>
      </c>
      <c r="D197" s="3">
        <v>38433</v>
      </c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>
      <c r="A198" s="3" t="s">
        <v>235</v>
      </c>
      <c r="B198" s="3" t="s">
        <v>199</v>
      </c>
      <c r="C198" s="3" t="s">
        <v>235</v>
      </c>
      <c r="D198" s="3">
        <v>25410</v>
      </c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>
      <c r="A199" s="3" t="s">
        <v>237</v>
      </c>
      <c r="B199" s="3" t="s">
        <v>236</v>
      </c>
      <c r="C199" s="3" t="s">
        <v>237</v>
      </c>
      <c r="D199" s="3">
        <v>38913</v>
      </c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>
      <c r="A200" s="3" t="s">
        <v>239</v>
      </c>
      <c r="B200" s="3" t="s">
        <v>238</v>
      </c>
      <c r="C200" s="3" t="s">
        <v>239</v>
      </c>
      <c r="D200" s="3">
        <v>36934</v>
      </c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>
      <c r="A201" s="3" t="s">
        <v>240</v>
      </c>
      <c r="B201" s="3" t="s">
        <v>215</v>
      </c>
      <c r="C201" s="3" t="s">
        <v>240</v>
      </c>
      <c r="D201" s="3">
        <v>43720</v>
      </c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>
      <c r="A202" s="3" t="s">
        <v>242</v>
      </c>
      <c r="B202" s="3" t="s">
        <v>241</v>
      </c>
      <c r="C202" s="3" t="s">
        <v>242</v>
      </c>
      <c r="D202" s="3">
        <v>25341</v>
      </c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>
      <c r="A203" s="3">
        <v>31398</v>
      </c>
      <c r="B203" s="3" t="s">
        <v>243</v>
      </c>
      <c r="C203" s="3" t="s">
        <v>244</v>
      </c>
      <c r="D203" s="3">
        <v>31398</v>
      </c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>
      <c r="A204" s="3" t="s">
        <v>244</v>
      </c>
      <c r="B204" s="3" t="s">
        <v>243</v>
      </c>
      <c r="C204" s="3" t="s">
        <v>244</v>
      </c>
      <c r="D204" s="3">
        <v>31398</v>
      </c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>
      <c r="A205" s="3">
        <v>49769</v>
      </c>
      <c r="B205" s="3" t="s">
        <v>245</v>
      </c>
      <c r="C205" s="3" t="s">
        <v>246</v>
      </c>
      <c r="D205" s="3">
        <v>49769</v>
      </c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>
      <c r="A206" s="3" t="s">
        <v>246</v>
      </c>
      <c r="B206" s="3" t="s">
        <v>245</v>
      </c>
      <c r="C206" s="3" t="s">
        <v>246</v>
      </c>
      <c r="D206" s="3">
        <v>49769</v>
      </c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>
      <c r="A207" s="8">
        <v>2507162001541</v>
      </c>
      <c r="B207" s="3" t="s">
        <v>245</v>
      </c>
      <c r="C207" s="3" t="s">
        <v>246</v>
      </c>
      <c r="D207" s="3">
        <v>49769</v>
      </c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>
      <c r="A208" s="3">
        <v>50368</v>
      </c>
      <c r="B208" s="3" t="s">
        <v>247</v>
      </c>
      <c r="C208" s="3" t="s">
        <v>248</v>
      </c>
      <c r="D208" s="3">
        <v>50368</v>
      </c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>
      <c r="A209" s="3" t="s">
        <v>248</v>
      </c>
      <c r="B209" s="3" t="s">
        <v>247</v>
      </c>
      <c r="C209" s="3" t="s">
        <v>248</v>
      </c>
      <c r="D209" s="3">
        <v>50368</v>
      </c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>
      <c r="A210" s="8">
        <v>2507162001622</v>
      </c>
      <c r="B210" s="3" t="s">
        <v>247</v>
      </c>
      <c r="C210" s="3" t="s">
        <v>248</v>
      </c>
      <c r="D210" s="3">
        <v>50368</v>
      </c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>
      <c r="A211" s="8">
        <v>4625102000234</v>
      </c>
      <c r="B211" s="3" t="s">
        <v>199</v>
      </c>
      <c r="C211" s="3" t="s">
        <v>235</v>
      </c>
      <c r="D211" s="3">
        <v>25410</v>
      </c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>
      <c r="A212" s="8">
        <v>4625102000315</v>
      </c>
      <c r="B212" s="3" t="s">
        <v>243</v>
      </c>
      <c r="C212" s="3" t="s">
        <v>244</v>
      </c>
      <c r="D212" s="3">
        <v>31398</v>
      </c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>
      <c r="A213" s="8">
        <v>50153</v>
      </c>
      <c r="B213" s="3" t="s">
        <v>249</v>
      </c>
      <c r="C213" s="3" t="s">
        <v>250</v>
      </c>
      <c r="D213" s="3">
        <v>50153</v>
      </c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>
      <c r="A214" s="8" t="s">
        <v>250</v>
      </c>
      <c r="B214" s="3" t="s">
        <v>249</v>
      </c>
      <c r="C214" s="3" t="s">
        <v>250</v>
      </c>
      <c r="D214" s="3">
        <v>50153</v>
      </c>
    </row>
    <row r="215" spans="1:26">
      <c r="A215" s="8">
        <v>2507162001380</v>
      </c>
      <c r="B215" s="3" t="s">
        <v>249</v>
      </c>
      <c r="C215" s="3" t="s">
        <v>250</v>
      </c>
      <c r="D215" s="3">
        <v>50153</v>
      </c>
    </row>
  </sheetData>
  <sheetProtection sheet="1" objects="1" scenarios="1"/>
  <phoneticPr fontId="7" type="noConversion"/>
  <conditionalFormatting sqref="D122:D180">
    <cfRule type="duplicateValues" dxfId="23" priority="7"/>
  </conditionalFormatting>
  <conditionalFormatting sqref="C97:C121 C62:C79 C81:C95">
    <cfRule type="duplicateValues" dxfId="22" priority="9"/>
  </conditionalFormatting>
  <conditionalFormatting sqref="C122:C154 C156:C180">
    <cfRule type="duplicateValues" dxfId="21" priority="10"/>
  </conditionalFormatting>
  <conditionalFormatting sqref="C155 C2:C35 A155 C37:C61">
    <cfRule type="duplicateValues" dxfId="20" priority="11"/>
  </conditionalFormatting>
  <conditionalFormatting sqref="A204 A206 A209 A212:A215">
    <cfRule type="duplicateValues" dxfId="19" priority="5"/>
  </conditionalFormatting>
  <conditionalFormatting sqref="A97:A121 A62:A95">
    <cfRule type="duplicateValues" dxfId="18" priority="4"/>
  </conditionalFormatting>
  <conditionalFormatting sqref="A210 A122:A154 A207 A156:A180">
    <cfRule type="duplicateValues" dxfId="17" priority="3"/>
  </conditionalFormatting>
  <conditionalFormatting sqref="A205 A1:A95 A207:A208 A210:A211 A97:A154 A156:A203">
    <cfRule type="duplicateValues" dxfId="16" priority="2"/>
  </conditionalFormatting>
  <conditionalFormatting sqref="C181:C215 C1 E1:E213">
    <cfRule type="duplicateValues" dxfId="15" priority="12"/>
  </conditionalFormatting>
  <conditionalFormatting sqref="D62:D79 D81:D121">
    <cfRule type="duplicateValues" dxfId="14" priority="20"/>
  </conditionalFormatting>
  <conditionalFormatting sqref="D1:D215">
    <cfRule type="duplicateValues" dxfId="13" priority="44"/>
  </conditionalFormatting>
  <conditionalFormatting sqref="C80">
    <cfRule type="duplicateValues" dxfId="12" priority="1"/>
  </conditionalFormatting>
  <pageMargins left="0.511811024" right="0.511811024" top="0.78740157499999996" bottom="0.78740157499999996" header="0.31496062000000002" footer="0.31496062000000002"/>
  <tableParts count="4">
    <tablePart r:id="rId1"/>
    <tablePart r:id="rId2"/>
    <tablePart r:id="rId3"/>
    <tablePart r:id="rId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B4B14-8137-4051-9AF0-B34A3815A345}">
  <sheetPr codeName="Planilha5"/>
  <dimension ref="B1:G12"/>
  <sheetViews>
    <sheetView workbookViewId="0">
      <selection activeCell="C7" sqref="C7"/>
    </sheetView>
  </sheetViews>
  <sheetFormatPr defaultRowHeight="15"/>
  <cols>
    <col min="2" max="2" width="18" bestFit="1" customWidth="1"/>
    <col min="3" max="3" width="27.42578125" bestFit="1" customWidth="1"/>
    <col min="4" max="4" width="12.5703125" bestFit="1" customWidth="1"/>
    <col min="6" max="6" width="33.140625" bestFit="1" customWidth="1"/>
    <col min="7" max="7" width="10.5703125" bestFit="1" customWidth="1"/>
    <col min="8" max="8" width="10.7109375" bestFit="1" customWidth="1"/>
  </cols>
  <sheetData>
    <row r="1" spans="2:7">
      <c r="B1" t="s">
        <v>275</v>
      </c>
    </row>
    <row r="2" spans="2:7">
      <c r="B2" s="1" t="str">
        <f>IFERROR(VLOOKUP(Máscara!C24,Controle!M2:N5,2,0),"")</f>
        <v>cinco</v>
      </c>
    </row>
    <row r="3" spans="2:7">
      <c r="B3" t="str">
        <f>IFERROR(VLOOKUP(Máscara!C27,Controle!M2:N5,2,0),"")</f>
        <v/>
      </c>
    </row>
    <row r="5" spans="2:7">
      <c r="F5" t="s">
        <v>284</v>
      </c>
    </row>
    <row r="6" spans="2:7">
      <c r="B6" s="12" t="s">
        <v>276</v>
      </c>
      <c r="C6" s="13">
        <f>IF(Máscara!E21="novo",Máscara!E13,Máscara!C21)</f>
        <v>15000</v>
      </c>
      <c r="F6" t="str">
        <f>Máscara!C27&amp;"/"&amp;Máscara!E27&amp;"-"&amp;Máscara!G27</f>
        <v>/-</v>
      </c>
      <c r="G6" s="62" t="e">
        <f>VLOOKUP(F6,Controle!V2:Y27,4,0)</f>
        <v>#N/A</v>
      </c>
    </row>
    <row r="7" spans="2:7">
      <c r="B7" s="12" t="s">
        <v>277</v>
      </c>
      <c r="C7" s="14" t="str">
        <f>Máscara!C24&amp;"/"&amp;Máscara!E24&amp;"-"&amp;Máscara!G24</f>
        <v>5/80000-STANDARD</v>
      </c>
      <c r="F7" s="3" t="e">
        <f>Máscara!E21&amp;"-"&amp;cálculo!G6&amp;"-"&amp;Máscara!G27&amp;"-"&amp;Máscara!I13</f>
        <v>#N/A</v>
      </c>
      <c r="G7" s="16">
        <f>IF(Máscara!I24="Não",0,VLOOKUP(F7,Price!A2:G1385,7,0))</f>
        <v>0</v>
      </c>
    </row>
    <row r="8" spans="2:7">
      <c r="B8" s="12" t="s">
        <v>278</v>
      </c>
      <c r="C8" s="14" t="str">
        <f>Máscara!E21&amp;"-"&amp;C10&amp;"-"&amp;Máscara!G24&amp;"-"&amp;Máscara!I13</f>
        <v>NOVO-07N7-STANDARD-SÉRIE 3</v>
      </c>
    </row>
    <row r="9" spans="2:7">
      <c r="B9" s="12" t="s">
        <v>279</v>
      </c>
      <c r="C9" s="18">
        <f>VLOOKUP(C8,Price!$A$2:$G$1400,7,0)</f>
        <v>11321.234528644141</v>
      </c>
    </row>
    <row r="10" spans="2:7">
      <c r="B10" s="17" t="s">
        <v>280</v>
      </c>
      <c r="C10" s="62" t="str">
        <f>VLOOKUP(C7,Controle!V2:Y27,4,0)</f>
        <v>07N7</v>
      </c>
    </row>
    <row r="12" spans="2:7">
      <c r="B12" s="17" t="s">
        <v>281</v>
      </c>
      <c r="C12" s="15">
        <f>C9-G7</f>
        <v>11321.234528644141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EEAAE-E443-4E09-B218-9EA8937C02C7}">
  <sheetPr codeName="Planilha4" filterMode="1"/>
  <dimension ref="A1:G1385"/>
  <sheetViews>
    <sheetView topLeftCell="A510" workbookViewId="0">
      <selection activeCell="N1160" sqref="N1160"/>
    </sheetView>
  </sheetViews>
  <sheetFormatPr defaultRowHeight="15"/>
  <cols>
    <col min="1" max="1" width="31.42578125" bestFit="1" customWidth="1"/>
  </cols>
  <sheetData>
    <row r="1" spans="1:7">
      <c r="A1" s="9" t="s">
        <v>251</v>
      </c>
      <c r="B1" s="9" t="s">
        <v>29</v>
      </c>
      <c r="C1" s="9" t="s">
        <v>24</v>
      </c>
      <c r="D1" s="9" t="s">
        <v>22</v>
      </c>
      <c r="E1" s="9" t="s">
        <v>23</v>
      </c>
      <c r="F1" s="9" t="s">
        <v>252</v>
      </c>
      <c r="G1" s="10" t="s">
        <v>253</v>
      </c>
    </row>
    <row r="2" spans="1:7" hidden="1">
      <c r="A2" t="str">
        <f t="shared" ref="A2:A65" si="0">B2&amp;"-"&amp;C2&amp;"-"&amp;E2&amp;"-"&amp;F2</f>
        <v>NOVO-07US-Standard-SÉRIE 1</v>
      </c>
      <c r="B2" t="s">
        <v>29</v>
      </c>
      <c r="C2" t="s">
        <v>34</v>
      </c>
      <c r="D2" t="s">
        <v>254</v>
      </c>
      <c r="E2" t="s">
        <v>33</v>
      </c>
      <c r="F2" t="s">
        <v>30</v>
      </c>
      <c r="G2" s="11">
        <v>4926.0333445245506</v>
      </c>
    </row>
    <row r="3" spans="1:7" hidden="1">
      <c r="A3" t="str">
        <f t="shared" si="0"/>
        <v>NOVO-07D7-Plus-SÉRIE 1</v>
      </c>
      <c r="B3" t="s">
        <v>29</v>
      </c>
      <c r="C3" t="s">
        <v>42</v>
      </c>
      <c r="E3" t="s">
        <v>10</v>
      </c>
      <c r="F3" t="s">
        <v>30</v>
      </c>
      <c r="G3" s="11">
        <v>8815.0070375702471</v>
      </c>
    </row>
    <row r="4" spans="1:7" hidden="1">
      <c r="A4" t="str">
        <f t="shared" si="0"/>
        <v>NOVO-07NG-Standard-SÉRIE 1</v>
      </c>
      <c r="B4" t="s">
        <v>29</v>
      </c>
      <c r="C4" t="s">
        <v>49</v>
      </c>
      <c r="D4" t="s">
        <v>255</v>
      </c>
      <c r="E4" t="s">
        <v>33</v>
      </c>
      <c r="F4" t="s">
        <v>30</v>
      </c>
      <c r="G4" s="11">
        <v>8555.742124700535</v>
      </c>
    </row>
    <row r="5" spans="1:7" hidden="1">
      <c r="A5" t="str">
        <f t="shared" si="0"/>
        <v>NOVO-07NM-Plus-SÉRIE 1</v>
      </c>
      <c r="B5" t="s">
        <v>29</v>
      </c>
      <c r="C5" t="s">
        <v>53</v>
      </c>
      <c r="E5" t="s">
        <v>10</v>
      </c>
      <c r="F5" t="s">
        <v>30</v>
      </c>
      <c r="G5" s="11">
        <v>17457.170799894018</v>
      </c>
    </row>
    <row r="6" spans="1:7" hidden="1">
      <c r="A6" t="str">
        <f t="shared" si="0"/>
        <v>NOVO-07DA-Standard-SÉRIE 1</v>
      </c>
      <c r="B6" t="s">
        <v>29</v>
      </c>
      <c r="C6" t="s">
        <v>58</v>
      </c>
      <c r="D6" t="s">
        <v>256</v>
      </c>
      <c r="E6" t="s">
        <v>33</v>
      </c>
      <c r="F6" t="s">
        <v>30</v>
      </c>
      <c r="G6" s="11">
        <v>12876.82400586242</v>
      </c>
    </row>
    <row r="7" spans="1:7" hidden="1">
      <c r="A7" t="str">
        <f t="shared" si="0"/>
        <v>NOVO-07DB-Plus-SÉRIE 1</v>
      </c>
      <c r="B7" t="s">
        <v>29</v>
      </c>
      <c r="C7" t="s">
        <v>62</v>
      </c>
      <c r="E7" t="s">
        <v>10</v>
      </c>
      <c r="F7" t="s">
        <v>30</v>
      </c>
      <c r="G7" s="11">
        <v>26531.442750333979</v>
      </c>
    </row>
    <row r="8" spans="1:7" hidden="1">
      <c r="A8" t="str">
        <f t="shared" si="0"/>
        <v>NOVO-07DD-Standard-SÉRIE 1</v>
      </c>
      <c r="B8" t="s">
        <v>29</v>
      </c>
      <c r="C8" t="s">
        <v>67</v>
      </c>
      <c r="D8" t="s">
        <v>257</v>
      </c>
      <c r="E8" t="s">
        <v>33</v>
      </c>
      <c r="F8" t="s">
        <v>30</v>
      </c>
      <c r="G8" s="11">
        <v>8642.163762323773</v>
      </c>
    </row>
    <row r="9" spans="1:7" hidden="1">
      <c r="A9" t="str">
        <f t="shared" si="0"/>
        <v>NOVO-07DE-Plus-SÉRIE 1</v>
      </c>
      <c r="B9" t="s">
        <v>29</v>
      </c>
      <c r="C9" t="s">
        <v>71</v>
      </c>
      <c r="E9" t="s">
        <v>10</v>
      </c>
      <c r="F9" t="s">
        <v>30</v>
      </c>
      <c r="G9" s="11">
        <v>17716.435712763734</v>
      </c>
    </row>
    <row r="10" spans="1:7" hidden="1">
      <c r="A10" t="str">
        <f t="shared" si="0"/>
        <v>NOVO-07NX-Standard-SÉRIE 1</v>
      </c>
      <c r="B10" t="s">
        <v>29</v>
      </c>
      <c r="C10" t="s">
        <v>76</v>
      </c>
      <c r="D10" t="s">
        <v>258</v>
      </c>
      <c r="E10" t="s">
        <v>33</v>
      </c>
      <c r="F10" t="s">
        <v>30</v>
      </c>
      <c r="G10" s="11">
        <v>10543.439790035001</v>
      </c>
    </row>
    <row r="11" spans="1:7" hidden="1">
      <c r="A11" t="str">
        <f t="shared" si="0"/>
        <v>NOVO-07NY-Plus-SÉRIE 1</v>
      </c>
      <c r="B11" t="s">
        <v>29</v>
      </c>
      <c r="C11" t="s">
        <v>80</v>
      </c>
      <c r="E11" t="s">
        <v>10</v>
      </c>
      <c r="F11" t="s">
        <v>30</v>
      </c>
      <c r="G11" s="11">
        <v>21173.301217693243</v>
      </c>
    </row>
    <row r="12" spans="1:7" hidden="1">
      <c r="A12" t="str">
        <f t="shared" si="0"/>
        <v>NOVO-07N1-Standard-SÉRIE 1</v>
      </c>
      <c r="B12" t="s">
        <v>29</v>
      </c>
      <c r="C12" t="s">
        <v>85</v>
      </c>
      <c r="D12" t="s">
        <v>259</v>
      </c>
      <c r="E12" t="s">
        <v>33</v>
      </c>
      <c r="F12" t="s">
        <v>30</v>
      </c>
      <c r="G12" s="11">
        <v>12963.245643485658</v>
      </c>
    </row>
    <row r="13" spans="1:7" hidden="1">
      <c r="A13" t="str">
        <f t="shared" si="0"/>
        <v>NOVO-07N2-Plus-SÉRIE 1</v>
      </c>
      <c r="B13" t="s">
        <v>29</v>
      </c>
      <c r="C13" t="s">
        <v>89</v>
      </c>
      <c r="E13" t="s">
        <v>10</v>
      </c>
      <c r="F13" t="s">
        <v>30</v>
      </c>
      <c r="G13" s="11">
        <v>26963.550938450167</v>
      </c>
    </row>
    <row r="14" spans="1:7" hidden="1">
      <c r="A14" t="str">
        <f t="shared" si="0"/>
        <v>NOVO-07N4-Standard-SÉRIE 1</v>
      </c>
      <c r="B14" t="s">
        <v>29</v>
      </c>
      <c r="C14" t="s">
        <v>94</v>
      </c>
      <c r="D14" t="s">
        <v>260</v>
      </c>
      <c r="E14" t="s">
        <v>33</v>
      </c>
      <c r="F14" t="s">
        <v>30</v>
      </c>
      <c r="G14" s="11">
        <v>17025.06261177783</v>
      </c>
    </row>
    <row r="15" spans="1:7" hidden="1">
      <c r="A15" t="str">
        <f t="shared" si="0"/>
        <v>NOVO-07N5-Plus-SÉRIE 1</v>
      </c>
      <c r="B15" t="s">
        <v>29</v>
      </c>
      <c r="C15" t="s">
        <v>98</v>
      </c>
      <c r="E15" t="s">
        <v>10</v>
      </c>
      <c r="F15" t="s">
        <v>30</v>
      </c>
      <c r="G15" s="11">
        <v>32926.643934453568</v>
      </c>
    </row>
    <row r="16" spans="1:7" hidden="1">
      <c r="A16" t="str">
        <f t="shared" si="0"/>
        <v>NOVO-07NW-Standard-SÉRIE 1</v>
      </c>
      <c r="B16" t="s">
        <v>29</v>
      </c>
      <c r="C16" t="s">
        <v>103</v>
      </c>
      <c r="D16" t="s">
        <v>261</v>
      </c>
      <c r="E16" t="s">
        <v>33</v>
      </c>
      <c r="F16" t="s">
        <v>30</v>
      </c>
      <c r="G16" s="11">
        <v>9074.2719504399611</v>
      </c>
    </row>
    <row r="17" spans="1:7" hidden="1">
      <c r="A17" t="str">
        <f t="shared" si="0"/>
        <v>NOVO-07NK-Plus-SÉRIE 1</v>
      </c>
      <c r="B17" t="s">
        <v>29</v>
      </c>
      <c r="C17" t="s">
        <v>107</v>
      </c>
      <c r="E17" t="s">
        <v>10</v>
      </c>
      <c r="F17" t="s">
        <v>30</v>
      </c>
      <c r="G17" s="11">
        <v>18062.122263256682</v>
      </c>
    </row>
    <row r="18" spans="1:7" hidden="1">
      <c r="A18" t="str">
        <f t="shared" si="0"/>
        <v>NOVO-07N7-Standard-SÉRIE 1</v>
      </c>
      <c r="B18" t="s">
        <v>29</v>
      </c>
      <c r="C18" t="s">
        <v>112</v>
      </c>
      <c r="D18" t="s">
        <v>262</v>
      </c>
      <c r="E18" t="s">
        <v>33</v>
      </c>
      <c r="F18" t="s">
        <v>30</v>
      </c>
      <c r="G18" s="11">
        <v>11061.969615774429</v>
      </c>
    </row>
    <row r="19" spans="1:7" hidden="1">
      <c r="A19" t="str">
        <f t="shared" si="0"/>
        <v>NOVO-07N8-Plus-SÉRIE 1</v>
      </c>
      <c r="B19" t="s">
        <v>29</v>
      </c>
      <c r="C19" t="s">
        <v>116</v>
      </c>
      <c r="E19" t="s">
        <v>10</v>
      </c>
      <c r="F19" t="s">
        <v>30</v>
      </c>
      <c r="G19" s="11">
        <v>21691.831043432667</v>
      </c>
    </row>
    <row r="20" spans="1:7" hidden="1">
      <c r="A20" t="str">
        <f t="shared" si="0"/>
        <v>NOVO-07NH-Standard-SÉRIE 1</v>
      </c>
      <c r="B20" t="s">
        <v>29</v>
      </c>
      <c r="C20" t="s">
        <v>121</v>
      </c>
      <c r="D20" t="s">
        <v>263</v>
      </c>
      <c r="E20" t="s">
        <v>33</v>
      </c>
      <c r="F20" t="s">
        <v>30</v>
      </c>
      <c r="G20" s="11">
        <v>13049.667281108896</v>
      </c>
    </row>
    <row r="21" spans="1:7" hidden="1">
      <c r="A21" t="str">
        <f t="shared" si="0"/>
        <v>NOVO-07NA-Plus-SÉRIE 1</v>
      </c>
      <c r="B21" t="s">
        <v>29</v>
      </c>
      <c r="C21" t="s">
        <v>125</v>
      </c>
      <c r="E21" t="s">
        <v>10</v>
      </c>
      <c r="F21" t="s">
        <v>30</v>
      </c>
      <c r="G21" s="11">
        <v>27049.972576073407</v>
      </c>
    </row>
    <row r="22" spans="1:7" hidden="1">
      <c r="A22" t="str">
        <f t="shared" si="0"/>
        <v>NOVO-07UA-Standard-SÉRIE 1</v>
      </c>
      <c r="B22" t="s">
        <v>29</v>
      </c>
      <c r="C22" t="s">
        <v>130</v>
      </c>
      <c r="D22" t="s">
        <v>264</v>
      </c>
      <c r="E22" t="s">
        <v>33</v>
      </c>
      <c r="F22" t="s">
        <v>30</v>
      </c>
      <c r="G22" s="11">
        <v>17543.592437517258</v>
      </c>
    </row>
    <row r="23" spans="1:7" hidden="1">
      <c r="A23" t="str">
        <f t="shared" si="0"/>
        <v>NOVO-07UB-Plus-SÉRIE 1</v>
      </c>
      <c r="B23" t="s">
        <v>29</v>
      </c>
      <c r="C23" t="s">
        <v>133</v>
      </c>
      <c r="E23" t="s">
        <v>10</v>
      </c>
      <c r="F23" t="s">
        <v>30</v>
      </c>
      <c r="G23" s="11">
        <v>33790.860310685952</v>
      </c>
    </row>
    <row r="24" spans="1:7" hidden="1">
      <c r="A24" t="str">
        <f t="shared" si="0"/>
        <v>NOVO-07US-Standard-SÉRIE 2</v>
      </c>
      <c r="B24" t="s">
        <v>29</v>
      </c>
      <c r="C24" t="s">
        <v>34</v>
      </c>
      <c r="D24" t="s">
        <v>254</v>
      </c>
      <c r="E24" t="s">
        <v>33</v>
      </c>
      <c r="F24" t="s">
        <v>40</v>
      </c>
      <c r="G24" s="11">
        <v>4926.0333445245506</v>
      </c>
    </row>
    <row r="25" spans="1:7" hidden="1">
      <c r="A25" t="str">
        <f t="shared" si="0"/>
        <v>NOVO-07D7-Plus-SÉRIE 2</v>
      </c>
      <c r="B25" t="s">
        <v>29</v>
      </c>
      <c r="C25" t="s">
        <v>42</v>
      </c>
      <c r="E25" t="s">
        <v>10</v>
      </c>
      <c r="F25" t="s">
        <v>40</v>
      </c>
      <c r="G25" s="11">
        <v>8815.0070375702471</v>
      </c>
    </row>
    <row r="26" spans="1:7" hidden="1">
      <c r="A26" t="str">
        <f t="shared" si="0"/>
        <v>NOVO-07NG-Standard-SÉRIE 2</v>
      </c>
      <c r="B26" t="s">
        <v>29</v>
      </c>
      <c r="C26" t="s">
        <v>49</v>
      </c>
      <c r="D26" t="s">
        <v>255</v>
      </c>
      <c r="E26" t="s">
        <v>33</v>
      </c>
      <c r="F26" t="s">
        <v>40</v>
      </c>
      <c r="G26" s="11">
        <v>8555.742124700535</v>
      </c>
    </row>
    <row r="27" spans="1:7" hidden="1">
      <c r="A27" t="str">
        <f t="shared" si="0"/>
        <v>NOVO-07NM-Plus-SÉRIE 2</v>
      </c>
      <c r="B27" t="s">
        <v>29</v>
      </c>
      <c r="C27" t="s">
        <v>53</v>
      </c>
      <c r="E27" t="s">
        <v>10</v>
      </c>
      <c r="F27" t="s">
        <v>40</v>
      </c>
      <c r="G27" s="11">
        <v>17457.170799894018</v>
      </c>
    </row>
    <row r="28" spans="1:7" hidden="1">
      <c r="A28" t="str">
        <f t="shared" si="0"/>
        <v>NOVO-07DA-Standard-SÉRIE 2</v>
      </c>
      <c r="B28" t="s">
        <v>29</v>
      </c>
      <c r="C28" t="s">
        <v>58</v>
      </c>
      <c r="D28" t="s">
        <v>256</v>
      </c>
      <c r="E28" t="s">
        <v>33</v>
      </c>
      <c r="F28" t="s">
        <v>40</v>
      </c>
      <c r="G28" s="11">
        <v>12876.82400586242</v>
      </c>
    </row>
    <row r="29" spans="1:7" hidden="1">
      <c r="A29" t="str">
        <f t="shared" si="0"/>
        <v>NOVO-07DB-Plus-SÉRIE 2</v>
      </c>
      <c r="B29" t="s">
        <v>29</v>
      </c>
      <c r="C29" t="s">
        <v>62</v>
      </c>
      <c r="E29" t="s">
        <v>10</v>
      </c>
      <c r="F29" t="s">
        <v>40</v>
      </c>
      <c r="G29" s="11">
        <v>26531.442750333979</v>
      </c>
    </row>
    <row r="30" spans="1:7" hidden="1">
      <c r="A30" t="str">
        <f t="shared" si="0"/>
        <v>NOVO-07DD-Standard-SÉRIE 2</v>
      </c>
      <c r="B30" t="s">
        <v>29</v>
      </c>
      <c r="C30" t="s">
        <v>67</v>
      </c>
      <c r="D30" t="s">
        <v>257</v>
      </c>
      <c r="E30" t="s">
        <v>33</v>
      </c>
      <c r="F30" t="s">
        <v>40</v>
      </c>
      <c r="G30" s="11">
        <v>8642.163762323773</v>
      </c>
    </row>
    <row r="31" spans="1:7" hidden="1">
      <c r="A31" t="str">
        <f t="shared" si="0"/>
        <v>NOVO-07DE-Plus-SÉRIE 2</v>
      </c>
      <c r="B31" t="s">
        <v>29</v>
      </c>
      <c r="C31" t="s">
        <v>71</v>
      </c>
      <c r="E31" t="s">
        <v>10</v>
      </c>
      <c r="F31" t="s">
        <v>40</v>
      </c>
      <c r="G31" s="11">
        <v>17716.435712763734</v>
      </c>
    </row>
    <row r="32" spans="1:7" hidden="1">
      <c r="A32" t="str">
        <f t="shared" si="0"/>
        <v>NOVO-07NX-Standard-SÉRIE 2</v>
      </c>
      <c r="B32" t="s">
        <v>29</v>
      </c>
      <c r="C32" t="s">
        <v>76</v>
      </c>
      <c r="D32" t="s">
        <v>258</v>
      </c>
      <c r="E32" t="s">
        <v>33</v>
      </c>
      <c r="F32" t="s">
        <v>40</v>
      </c>
      <c r="G32" s="11">
        <v>10543.439790035001</v>
      </c>
    </row>
    <row r="33" spans="1:7" hidden="1">
      <c r="A33" t="str">
        <f t="shared" si="0"/>
        <v>NOVO-07NY-Plus-SÉRIE 2</v>
      </c>
      <c r="B33" t="s">
        <v>29</v>
      </c>
      <c r="C33" t="s">
        <v>80</v>
      </c>
      <c r="E33" t="s">
        <v>10</v>
      </c>
      <c r="F33" t="s">
        <v>40</v>
      </c>
      <c r="G33" s="11">
        <v>21173.301217693243</v>
      </c>
    </row>
    <row r="34" spans="1:7" hidden="1">
      <c r="A34" t="str">
        <f t="shared" si="0"/>
        <v>NOVO-07N1-Standard-SÉRIE 2</v>
      </c>
      <c r="B34" t="s">
        <v>29</v>
      </c>
      <c r="C34" t="s">
        <v>85</v>
      </c>
      <c r="D34" t="s">
        <v>259</v>
      </c>
      <c r="E34" t="s">
        <v>33</v>
      </c>
      <c r="F34" t="s">
        <v>40</v>
      </c>
      <c r="G34" s="11">
        <v>12963.245643485658</v>
      </c>
    </row>
    <row r="35" spans="1:7" hidden="1">
      <c r="A35" t="str">
        <f t="shared" si="0"/>
        <v>NOVO-07N2-Plus-SÉRIE 2</v>
      </c>
      <c r="B35" t="s">
        <v>29</v>
      </c>
      <c r="C35" t="s">
        <v>89</v>
      </c>
      <c r="E35" t="s">
        <v>10</v>
      </c>
      <c r="F35" t="s">
        <v>40</v>
      </c>
      <c r="G35" s="11">
        <v>26963.550938450167</v>
      </c>
    </row>
    <row r="36" spans="1:7" hidden="1">
      <c r="A36" t="str">
        <f t="shared" si="0"/>
        <v>NOVO-07N4-Standard-SÉRIE 2</v>
      </c>
      <c r="B36" t="s">
        <v>29</v>
      </c>
      <c r="C36" t="s">
        <v>94</v>
      </c>
      <c r="D36" t="s">
        <v>260</v>
      </c>
      <c r="E36" t="s">
        <v>33</v>
      </c>
      <c r="F36" t="s">
        <v>40</v>
      </c>
      <c r="G36" s="11">
        <v>17025.06261177783</v>
      </c>
    </row>
    <row r="37" spans="1:7" hidden="1">
      <c r="A37" t="str">
        <f t="shared" si="0"/>
        <v>NOVO-07N5-Plus-SÉRIE 2</v>
      </c>
      <c r="B37" t="s">
        <v>29</v>
      </c>
      <c r="C37" t="s">
        <v>98</v>
      </c>
      <c r="E37" t="s">
        <v>10</v>
      </c>
      <c r="F37" t="s">
        <v>40</v>
      </c>
      <c r="G37" s="11">
        <v>32926.643934453568</v>
      </c>
    </row>
    <row r="38" spans="1:7" hidden="1">
      <c r="A38" t="str">
        <f t="shared" si="0"/>
        <v>NOVO-07NW-Standard-SÉRIE 2</v>
      </c>
      <c r="B38" t="s">
        <v>29</v>
      </c>
      <c r="C38" t="s">
        <v>103</v>
      </c>
      <c r="D38" t="s">
        <v>261</v>
      </c>
      <c r="E38" t="s">
        <v>33</v>
      </c>
      <c r="F38" t="s">
        <v>40</v>
      </c>
      <c r="G38" s="11">
        <v>9074.2719504399611</v>
      </c>
    </row>
    <row r="39" spans="1:7" hidden="1">
      <c r="A39" t="str">
        <f t="shared" si="0"/>
        <v>NOVO-07NK-Plus-SÉRIE 2</v>
      </c>
      <c r="B39" t="s">
        <v>29</v>
      </c>
      <c r="C39" t="s">
        <v>107</v>
      </c>
      <c r="E39" t="s">
        <v>10</v>
      </c>
      <c r="F39" t="s">
        <v>40</v>
      </c>
      <c r="G39" s="11">
        <v>18062.122263256682</v>
      </c>
    </row>
    <row r="40" spans="1:7" hidden="1">
      <c r="A40" t="str">
        <f t="shared" si="0"/>
        <v>NOVO-07N7-Standard-SÉRIE 2</v>
      </c>
      <c r="B40" t="s">
        <v>29</v>
      </c>
      <c r="C40" t="s">
        <v>112</v>
      </c>
      <c r="D40" t="s">
        <v>262</v>
      </c>
      <c r="E40" t="s">
        <v>33</v>
      </c>
      <c r="F40" t="s">
        <v>40</v>
      </c>
      <c r="G40" s="11">
        <v>11061.969615774429</v>
      </c>
    </row>
    <row r="41" spans="1:7" hidden="1">
      <c r="A41" t="str">
        <f t="shared" si="0"/>
        <v>NOVO-07N8-Plus-SÉRIE 2</v>
      </c>
      <c r="B41" t="s">
        <v>29</v>
      </c>
      <c r="C41" t="s">
        <v>116</v>
      </c>
      <c r="E41" t="s">
        <v>10</v>
      </c>
      <c r="F41" t="s">
        <v>40</v>
      </c>
      <c r="G41" s="11">
        <v>21691.831043432667</v>
      </c>
    </row>
    <row r="42" spans="1:7" hidden="1">
      <c r="A42" t="str">
        <f t="shared" si="0"/>
        <v>NOVO-07NH-Standard-SÉRIE 2</v>
      </c>
      <c r="B42" t="s">
        <v>29</v>
      </c>
      <c r="C42" t="s">
        <v>121</v>
      </c>
      <c r="D42" t="s">
        <v>263</v>
      </c>
      <c r="E42" t="s">
        <v>33</v>
      </c>
      <c r="F42" t="s">
        <v>40</v>
      </c>
      <c r="G42" s="11">
        <v>13049.667281108896</v>
      </c>
    </row>
    <row r="43" spans="1:7" hidden="1">
      <c r="A43" t="str">
        <f t="shared" si="0"/>
        <v>NOVO-07NA-Plus-SÉRIE 2</v>
      </c>
      <c r="B43" t="s">
        <v>29</v>
      </c>
      <c r="C43" t="s">
        <v>125</v>
      </c>
      <c r="E43" t="s">
        <v>10</v>
      </c>
      <c r="F43" t="s">
        <v>40</v>
      </c>
      <c r="G43" s="11">
        <v>27049.972576073407</v>
      </c>
    </row>
    <row r="44" spans="1:7" hidden="1">
      <c r="A44" t="str">
        <f t="shared" si="0"/>
        <v>NOVO-07UA-Standard-SÉRIE 2</v>
      </c>
      <c r="B44" t="s">
        <v>29</v>
      </c>
      <c r="C44" t="s">
        <v>130</v>
      </c>
      <c r="D44" t="s">
        <v>264</v>
      </c>
      <c r="E44" t="s">
        <v>33</v>
      </c>
      <c r="F44" t="s">
        <v>40</v>
      </c>
      <c r="G44" s="11">
        <v>17543.592437517258</v>
      </c>
    </row>
    <row r="45" spans="1:7" hidden="1">
      <c r="A45" t="str">
        <f t="shared" si="0"/>
        <v>NOVO-07UB-Plus-SÉRIE 2</v>
      </c>
      <c r="B45" t="s">
        <v>29</v>
      </c>
      <c r="C45" t="s">
        <v>133</v>
      </c>
      <c r="E45" t="s">
        <v>10</v>
      </c>
      <c r="F45" t="s">
        <v>40</v>
      </c>
      <c r="G45" s="11">
        <v>33790.860310685952</v>
      </c>
    </row>
    <row r="46" spans="1:7" hidden="1">
      <c r="A46" t="str">
        <f t="shared" si="0"/>
        <v>NOVO-07US-Standard-M2</v>
      </c>
      <c r="B46" t="s">
        <v>29</v>
      </c>
      <c r="C46" t="s">
        <v>34</v>
      </c>
      <c r="D46" t="s">
        <v>254</v>
      </c>
      <c r="E46" t="s">
        <v>33</v>
      </c>
      <c r="F46" t="s">
        <v>97</v>
      </c>
      <c r="G46" s="11">
        <v>9938.4883266723373</v>
      </c>
    </row>
    <row r="47" spans="1:7" hidden="1">
      <c r="A47" t="str">
        <f t="shared" si="0"/>
        <v>NOVO-07D7-Plus-M2</v>
      </c>
      <c r="B47" t="s">
        <v>29</v>
      </c>
      <c r="C47" t="s">
        <v>42</v>
      </c>
      <c r="E47" t="s">
        <v>10</v>
      </c>
      <c r="F47" t="s">
        <v>97</v>
      </c>
      <c r="G47" s="11">
        <v>14432.4134830807</v>
      </c>
    </row>
    <row r="48" spans="1:7" hidden="1">
      <c r="A48" t="str">
        <f t="shared" si="0"/>
        <v>NOVO-07NG-Standard-M2</v>
      </c>
      <c r="B48" t="s">
        <v>29</v>
      </c>
      <c r="C48" t="s">
        <v>49</v>
      </c>
      <c r="D48" t="s">
        <v>255</v>
      </c>
      <c r="E48" t="s">
        <v>33</v>
      </c>
      <c r="F48" t="s">
        <v>97</v>
      </c>
      <c r="G48" s="11">
        <v>14000.305294964512</v>
      </c>
    </row>
    <row r="49" spans="1:7" hidden="1">
      <c r="A49" t="str">
        <f t="shared" si="0"/>
        <v>NOVO-07NM-Plus-M2</v>
      </c>
      <c r="B49" t="s">
        <v>29</v>
      </c>
      <c r="C49" t="s">
        <v>53</v>
      </c>
      <c r="E49" t="s">
        <v>10</v>
      </c>
      <c r="F49" t="s">
        <v>97</v>
      </c>
      <c r="G49" s="11">
        <v>35173.606512657752</v>
      </c>
    </row>
    <row r="50" spans="1:7" hidden="1">
      <c r="A50" t="str">
        <f t="shared" si="0"/>
        <v>NOVO-07DA-Standard-M2</v>
      </c>
      <c r="B50" t="s">
        <v>29</v>
      </c>
      <c r="C50" t="s">
        <v>58</v>
      </c>
      <c r="D50" t="s">
        <v>256</v>
      </c>
      <c r="E50" t="s">
        <v>33</v>
      </c>
      <c r="F50" t="s">
        <v>97</v>
      </c>
      <c r="G50" s="11">
        <v>20827.614667200291</v>
      </c>
    </row>
    <row r="51" spans="1:7" hidden="1">
      <c r="A51" t="str">
        <f t="shared" si="0"/>
        <v>NOVO-07DB-Plus-M2</v>
      </c>
      <c r="B51" t="s">
        <v>29</v>
      </c>
      <c r="C51" t="s">
        <v>62</v>
      </c>
      <c r="E51" t="s">
        <v>10</v>
      </c>
      <c r="F51" t="s">
        <v>97</v>
      </c>
      <c r="G51" s="11">
        <v>46754.105954171609</v>
      </c>
    </row>
    <row r="52" spans="1:7" hidden="1">
      <c r="A52" t="str">
        <f t="shared" si="0"/>
        <v>NOVO-07DD-Standard-M2</v>
      </c>
      <c r="B52" t="s">
        <v>29</v>
      </c>
      <c r="C52" t="s">
        <v>67</v>
      </c>
      <c r="D52" t="s">
        <v>257</v>
      </c>
      <c r="E52" t="s">
        <v>33</v>
      </c>
      <c r="F52" t="s">
        <v>97</v>
      </c>
      <c r="G52" s="11">
        <v>14086.726932587748</v>
      </c>
    </row>
    <row r="53" spans="1:7" hidden="1">
      <c r="A53" t="str">
        <f t="shared" si="0"/>
        <v>NOVO-07DE-Plus-M2</v>
      </c>
      <c r="B53" t="s">
        <v>29</v>
      </c>
      <c r="C53" t="s">
        <v>71</v>
      </c>
      <c r="E53" t="s">
        <v>10</v>
      </c>
      <c r="F53" t="s">
        <v>97</v>
      </c>
      <c r="G53" s="11">
        <v>35346.449787904225</v>
      </c>
    </row>
    <row r="54" spans="1:7" hidden="1">
      <c r="A54" t="str">
        <f t="shared" si="0"/>
        <v>NOVO-07NX-Standard-M2</v>
      </c>
      <c r="B54" t="s">
        <v>29</v>
      </c>
      <c r="C54" t="s">
        <v>76</v>
      </c>
      <c r="D54" t="s">
        <v>258</v>
      </c>
      <c r="E54" t="s">
        <v>33</v>
      </c>
      <c r="F54" t="s">
        <v>97</v>
      </c>
      <c r="G54" s="11">
        <v>17975.700625633446</v>
      </c>
    </row>
    <row r="55" spans="1:7" hidden="1">
      <c r="A55" t="str">
        <f t="shared" si="0"/>
        <v>NOVO-07NY-Plus-M2</v>
      </c>
      <c r="B55" t="s">
        <v>29</v>
      </c>
      <c r="C55" t="s">
        <v>80</v>
      </c>
      <c r="E55" t="s">
        <v>10</v>
      </c>
      <c r="F55" t="s">
        <v>97</v>
      </c>
      <c r="G55" s="11">
        <v>43902.191912604765</v>
      </c>
    </row>
    <row r="56" spans="1:7" hidden="1">
      <c r="A56" t="str">
        <f t="shared" si="0"/>
        <v>NOVO-07N1-Standard-M2</v>
      </c>
      <c r="B56" t="s">
        <v>29</v>
      </c>
      <c r="C56" t="s">
        <v>85</v>
      </c>
      <c r="D56" t="s">
        <v>259</v>
      </c>
      <c r="E56" t="s">
        <v>33</v>
      </c>
      <c r="F56" t="s">
        <v>97</v>
      </c>
      <c r="G56" s="11">
        <v>20914.03630482353</v>
      </c>
    </row>
    <row r="57" spans="1:7" hidden="1">
      <c r="A57" t="str">
        <f t="shared" si="0"/>
        <v>NOVO-07N2-Plus-M2</v>
      </c>
      <c r="B57" t="s">
        <v>29</v>
      </c>
      <c r="C57" t="s">
        <v>89</v>
      </c>
      <c r="E57" t="s">
        <v>10</v>
      </c>
      <c r="F57" t="s">
        <v>97</v>
      </c>
      <c r="G57" s="11">
        <v>47272.635779911034</v>
      </c>
    </row>
    <row r="58" spans="1:7" hidden="1">
      <c r="A58" t="str">
        <f t="shared" si="0"/>
        <v>NOVO-07N4-Standard-M2</v>
      </c>
      <c r="B58" t="s">
        <v>29</v>
      </c>
      <c r="C58" t="s">
        <v>94</v>
      </c>
      <c r="D58" t="s">
        <v>260</v>
      </c>
      <c r="E58" t="s">
        <v>33</v>
      </c>
      <c r="F58" t="s">
        <v>97</v>
      </c>
      <c r="G58" s="11">
        <v>25753.648011724839</v>
      </c>
    </row>
    <row r="59" spans="1:7" hidden="1">
      <c r="A59" t="str">
        <f t="shared" si="0"/>
        <v>NOVO-07N5-Plus-M2</v>
      </c>
      <c r="B59" t="s">
        <v>29</v>
      </c>
      <c r="C59" t="s">
        <v>98</v>
      </c>
      <c r="E59" t="s">
        <v>10</v>
      </c>
      <c r="F59" t="s">
        <v>97</v>
      </c>
      <c r="G59" s="11">
        <v>69310.153373836656</v>
      </c>
    </row>
    <row r="60" spans="1:7" hidden="1">
      <c r="A60" t="str">
        <f t="shared" si="0"/>
        <v>NOVO-07NW-Standard-M2</v>
      </c>
      <c r="B60" t="s">
        <v>29</v>
      </c>
      <c r="C60" t="s">
        <v>103</v>
      </c>
      <c r="D60" t="s">
        <v>261</v>
      </c>
      <c r="E60" t="s">
        <v>33</v>
      </c>
      <c r="F60" t="s">
        <v>97</v>
      </c>
      <c r="G60" s="11">
        <v>14432.4134830807</v>
      </c>
    </row>
    <row r="61" spans="1:7" hidden="1">
      <c r="A61" t="str">
        <f t="shared" si="0"/>
        <v>NOVO-07NK-Plus-M2</v>
      </c>
      <c r="B61" t="s">
        <v>29</v>
      </c>
      <c r="C61" t="s">
        <v>107</v>
      </c>
      <c r="E61" t="s">
        <v>10</v>
      </c>
      <c r="F61" t="s">
        <v>97</v>
      </c>
      <c r="G61" s="11">
        <v>35778.55797602042</v>
      </c>
    </row>
    <row r="62" spans="1:7" hidden="1">
      <c r="A62" t="str">
        <f t="shared" si="0"/>
        <v>NOVO-07N7-Standard-M2</v>
      </c>
      <c r="B62" t="s">
        <v>29</v>
      </c>
      <c r="C62" t="s">
        <v>112</v>
      </c>
      <c r="D62" t="s">
        <v>262</v>
      </c>
      <c r="E62" t="s">
        <v>33</v>
      </c>
      <c r="F62" t="s">
        <v>97</v>
      </c>
      <c r="G62" s="11">
        <v>18407.808813749634</v>
      </c>
    </row>
    <row r="63" spans="1:7" hidden="1">
      <c r="A63" t="str">
        <f t="shared" si="0"/>
        <v>NOVO-07N8-Plus-M2</v>
      </c>
      <c r="B63" t="s">
        <v>29</v>
      </c>
      <c r="C63" t="s">
        <v>116</v>
      </c>
      <c r="E63" t="s">
        <v>10</v>
      </c>
      <c r="F63" t="s">
        <v>97</v>
      </c>
      <c r="G63" s="11">
        <v>44420.721738344189</v>
      </c>
    </row>
    <row r="64" spans="1:7" hidden="1">
      <c r="A64" t="str">
        <f t="shared" si="0"/>
        <v>NOVO-07NH-Standard-M2</v>
      </c>
      <c r="B64" t="s">
        <v>29</v>
      </c>
      <c r="C64" t="s">
        <v>121</v>
      </c>
      <c r="D64" t="s">
        <v>263</v>
      </c>
      <c r="E64" t="s">
        <v>33</v>
      </c>
      <c r="F64" t="s">
        <v>97</v>
      </c>
      <c r="G64" s="11">
        <v>21000.457942446767</v>
      </c>
    </row>
    <row r="65" spans="1:7" hidden="1">
      <c r="A65" t="str">
        <f t="shared" si="0"/>
        <v>NOVO-07NA-Plus-M2</v>
      </c>
      <c r="B65" t="s">
        <v>29</v>
      </c>
      <c r="C65" t="s">
        <v>125</v>
      </c>
      <c r="E65" t="s">
        <v>10</v>
      </c>
      <c r="F65" t="s">
        <v>97</v>
      </c>
      <c r="G65" s="11">
        <v>47704.743968027222</v>
      </c>
    </row>
    <row r="66" spans="1:7" hidden="1">
      <c r="A66" t="str">
        <f t="shared" ref="A66:A129" si="1">B66&amp;"-"&amp;C66&amp;"-"&amp;E66&amp;"-"&amp;F66</f>
        <v>NOVO-07UA-Standard-M2</v>
      </c>
      <c r="B66" t="s">
        <v>29</v>
      </c>
      <c r="C66" t="s">
        <v>130</v>
      </c>
      <c r="D66" t="s">
        <v>264</v>
      </c>
      <c r="E66" t="s">
        <v>33</v>
      </c>
      <c r="F66" t="s">
        <v>97</v>
      </c>
      <c r="G66" s="11">
        <v>26531.442750333979</v>
      </c>
    </row>
    <row r="67" spans="1:7" hidden="1">
      <c r="A67" t="str">
        <f t="shared" si="1"/>
        <v>NOVO-07UB-Plus-M2</v>
      </c>
      <c r="B67" t="s">
        <v>29</v>
      </c>
      <c r="C67" t="s">
        <v>133</v>
      </c>
      <c r="E67" t="s">
        <v>10</v>
      </c>
      <c r="F67" t="s">
        <v>97</v>
      </c>
      <c r="G67" s="11">
        <v>70520.056300561977</v>
      </c>
    </row>
    <row r="68" spans="1:7" hidden="1">
      <c r="A68" t="str">
        <f t="shared" si="1"/>
        <v>NOVO-07US-Standard-SÉRIE 3</v>
      </c>
      <c r="B68" t="s">
        <v>29</v>
      </c>
      <c r="C68" t="s">
        <v>34</v>
      </c>
      <c r="D68" t="s">
        <v>254</v>
      </c>
      <c r="E68" t="s">
        <v>33</v>
      </c>
      <c r="F68" t="s">
        <v>47</v>
      </c>
      <c r="G68" s="11">
        <v>5098.8766197710256</v>
      </c>
    </row>
    <row r="69" spans="1:7" hidden="1">
      <c r="A69" t="str">
        <f t="shared" si="1"/>
        <v>NOVO-07D7-Plus-SÉRIE 3</v>
      </c>
      <c r="B69" t="s">
        <v>29</v>
      </c>
      <c r="C69" t="s">
        <v>42</v>
      </c>
      <c r="E69" t="s">
        <v>10</v>
      </c>
      <c r="F69" t="s">
        <v>47</v>
      </c>
      <c r="G69" s="11">
        <v>8987.8503128167231</v>
      </c>
    </row>
    <row r="70" spans="1:7" hidden="1">
      <c r="A70" t="str">
        <f t="shared" si="1"/>
        <v>NOVO-07NG-Standard-SÉRIE 3</v>
      </c>
      <c r="B70" t="s">
        <v>29</v>
      </c>
      <c r="C70" t="s">
        <v>49</v>
      </c>
      <c r="D70" t="s">
        <v>255</v>
      </c>
      <c r="E70" t="s">
        <v>33</v>
      </c>
      <c r="F70" t="s">
        <v>47</v>
      </c>
      <c r="G70" s="11">
        <v>9074.2719504399611</v>
      </c>
    </row>
    <row r="71" spans="1:7" hidden="1">
      <c r="A71" t="str">
        <f t="shared" si="1"/>
        <v>NOVO-07NM-Plus-SÉRIE 3</v>
      </c>
      <c r="B71" t="s">
        <v>29</v>
      </c>
      <c r="C71" t="s">
        <v>53</v>
      </c>
      <c r="E71" t="s">
        <v>10</v>
      </c>
      <c r="F71" t="s">
        <v>47</v>
      </c>
      <c r="G71" s="11">
        <v>19012.760277112298</v>
      </c>
    </row>
    <row r="72" spans="1:7" hidden="1">
      <c r="A72" t="str">
        <f t="shared" si="1"/>
        <v>NOVO-07DA-Standard-SÉRIE 3</v>
      </c>
      <c r="B72" t="s">
        <v>29</v>
      </c>
      <c r="C72" t="s">
        <v>58</v>
      </c>
      <c r="D72" t="s">
        <v>256</v>
      </c>
      <c r="E72" t="s">
        <v>33</v>
      </c>
      <c r="F72" t="s">
        <v>47</v>
      </c>
      <c r="G72" s="11">
        <v>13654.61874447156</v>
      </c>
    </row>
    <row r="73" spans="1:7" hidden="1">
      <c r="A73" t="str">
        <f t="shared" si="1"/>
        <v>NOVO-07DB-Plus-SÉRIE 3</v>
      </c>
      <c r="B73" t="s">
        <v>29</v>
      </c>
      <c r="C73" t="s">
        <v>62</v>
      </c>
      <c r="E73" t="s">
        <v>10</v>
      </c>
      <c r="F73" t="s">
        <v>47</v>
      </c>
      <c r="G73" s="11">
        <v>29210.513516654351</v>
      </c>
    </row>
    <row r="74" spans="1:7" hidden="1">
      <c r="A74" t="str">
        <f t="shared" si="1"/>
        <v>NOVO-07DD-Standard-SÉRIE 3</v>
      </c>
      <c r="B74" t="s">
        <v>29</v>
      </c>
      <c r="C74" t="s">
        <v>67</v>
      </c>
      <c r="D74" t="s">
        <v>257</v>
      </c>
      <c r="E74" t="s">
        <v>33</v>
      </c>
      <c r="F74" t="s">
        <v>47</v>
      </c>
      <c r="G74" s="11">
        <v>9160.6935880631991</v>
      </c>
    </row>
    <row r="75" spans="1:7" hidden="1">
      <c r="A75" t="str">
        <f t="shared" si="1"/>
        <v>NOVO-07DE-Plus-SÉRIE 3</v>
      </c>
      <c r="B75" t="s">
        <v>29</v>
      </c>
      <c r="C75" t="s">
        <v>71</v>
      </c>
      <c r="E75" t="s">
        <v>10</v>
      </c>
      <c r="F75" t="s">
        <v>47</v>
      </c>
      <c r="G75" s="11">
        <v>19185.603552358774</v>
      </c>
    </row>
    <row r="76" spans="1:7" hidden="1">
      <c r="A76" t="str">
        <f t="shared" si="1"/>
        <v>NOVO-07NX-Standard-SÉRIE 3</v>
      </c>
      <c r="B76" t="s">
        <v>29</v>
      </c>
      <c r="C76" t="s">
        <v>76</v>
      </c>
      <c r="D76" t="s">
        <v>258</v>
      </c>
      <c r="E76" t="s">
        <v>33</v>
      </c>
      <c r="F76" t="s">
        <v>47</v>
      </c>
      <c r="G76" s="11">
        <v>10889.126340527953</v>
      </c>
    </row>
    <row r="77" spans="1:7" hidden="1">
      <c r="A77" t="str">
        <f t="shared" si="1"/>
        <v>NOVO-07NY-Plus-SÉRIE 3</v>
      </c>
      <c r="B77" t="s">
        <v>29</v>
      </c>
      <c r="C77" t="s">
        <v>80</v>
      </c>
      <c r="E77" t="s">
        <v>10</v>
      </c>
      <c r="F77" t="s">
        <v>47</v>
      </c>
      <c r="G77" s="11">
        <v>23420.263795897423</v>
      </c>
    </row>
    <row r="78" spans="1:7" hidden="1">
      <c r="A78" t="str">
        <f t="shared" si="1"/>
        <v>NOVO-07N1-Standard-SÉRIE 3</v>
      </c>
      <c r="B78" t="s">
        <v>29</v>
      </c>
      <c r="C78" t="s">
        <v>85</v>
      </c>
      <c r="D78" t="s">
        <v>259</v>
      </c>
      <c r="E78" t="s">
        <v>33</v>
      </c>
      <c r="F78" t="s">
        <v>47</v>
      </c>
      <c r="G78" s="11">
        <v>13827.462019718036</v>
      </c>
    </row>
    <row r="79" spans="1:7" hidden="1">
      <c r="A79" t="str">
        <f t="shared" si="1"/>
        <v>NOVO-07N2-Plus-SÉRIE 3</v>
      </c>
      <c r="B79" t="s">
        <v>29</v>
      </c>
      <c r="C79" t="s">
        <v>89</v>
      </c>
      <c r="E79" t="s">
        <v>10</v>
      </c>
      <c r="F79" t="s">
        <v>47</v>
      </c>
      <c r="G79" s="11">
        <v>29469.778429524064</v>
      </c>
    </row>
    <row r="80" spans="1:7" hidden="1">
      <c r="A80" t="str">
        <f t="shared" si="1"/>
        <v>NOVO-07N4-Standard-SÉRIE 3</v>
      </c>
      <c r="B80" t="s">
        <v>29</v>
      </c>
      <c r="C80" t="s">
        <v>94</v>
      </c>
      <c r="D80" t="s">
        <v>260</v>
      </c>
      <c r="E80" t="s">
        <v>33</v>
      </c>
      <c r="F80" t="s">
        <v>47</v>
      </c>
      <c r="G80" s="11">
        <v>17802.85735038697</v>
      </c>
    </row>
    <row r="81" spans="1:7" hidden="1">
      <c r="A81" t="str">
        <f t="shared" si="1"/>
        <v>NOVO-07N5-Plus-SÉRIE 3</v>
      </c>
      <c r="B81" t="s">
        <v>29</v>
      </c>
      <c r="C81" t="s">
        <v>98</v>
      </c>
      <c r="E81" t="s">
        <v>10</v>
      </c>
      <c r="F81" t="s">
        <v>47</v>
      </c>
      <c r="G81" s="11">
        <v>35346.449787904225</v>
      </c>
    </row>
    <row r="82" spans="1:7" hidden="1">
      <c r="A82" t="str">
        <f t="shared" si="1"/>
        <v>NOVO-07NW-Standard-SÉRIE 3</v>
      </c>
      <c r="B82" t="s">
        <v>29</v>
      </c>
      <c r="C82" t="s">
        <v>103</v>
      </c>
      <c r="D82" t="s">
        <v>261</v>
      </c>
      <c r="E82" t="s">
        <v>33</v>
      </c>
      <c r="F82" t="s">
        <v>47</v>
      </c>
      <c r="G82" s="11">
        <v>9506.3801385561492</v>
      </c>
    </row>
    <row r="83" spans="1:7" hidden="1">
      <c r="A83" t="str">
        <f t="shared" si="1"/>
        <v>NOVO-07NK-Plus-SÉRIE 3</v>
      </c>
      <c r="B83" t="s">
        <v>29</v>
      </c>
      <c r="C83" t="s">
        <v>107</v>
      </c>
      <c r="E83" t="s">
        <v>10</v>
      </c>
      <c r="F83" t="s">
        <v>47</v>
      </c>
      <c r="G83" s="11">
        <v>19617.711740474962</v>
      </c>
    </row>
    <row r="84" spans="1:7" hidden="1">
      <c r="A84" t="str">
        <f t="shared" si="1"/>
        <v>NOVO-07N7-Standard-SÉRIE 3</v>
      </c>
      <c r="B84" t="s">
        <v>29</v>
      </c>
      <c r="C84" t="s">
        <v>112</v>
      </c>
      <c r="D84" t="s">
        <v>262</v>
      </c>
      <c r="E84" t="s">
        <v>33</v>
      </c>
      <c r="F84" t="s">
        <v>47</v>
      </c>
      <c r="G84" s="11">
        <v>11321.234528644141</v>
      </c>
    </row>
    <row r="85" spans="1:7" hidden="1">
      <c r="A85" t="str">
        <f t="shared" si="1"/>
        <v>NOVO-07N8-Plus-SÉRIE 3</v>
      </c>
      <c r="B85" t="s">
        <v>29</v>
      </c>
      <c r="C85" t="s">
        <v>116</v>
      </c>
      <c r="E85" t="s">
        <v>10</v>
      </c>
      <c r="F85" t="s">
        <v>47</v>
      </c>
      <c r="G85" s="11">
        <v>23765.950346390375</v>
      </c>
    </row>
    <row r="86" spans="1:7" hidden="1">
      <c r="A86" t="str">
        <f t="shared" si="1"/>
        <v>NOVO-07NH-Standard-SÉRIE 3</v>
      </c>
      <c r="B86" t="s">
        <v>29</v>
      </c>
      <c r="C86" t="s">
        <v>121</v>
      </c>
      <c r="D86" t="s">
        <v>263</v>
      </c>
      <c r="E86" t="s">
        <v>33</v>
      </c>
      <c r="F86" t="s">
        <v>47</v>
      </c>
      <c r="G86" s="11">
        <v>13913.883657341274</v>
      </c>
    </row>
    <row r="87" spans="1:7" hidden="1">
      <c r="A87" t="str">
        <f t="shared" si="1"/>
        <v>NOVO-07NA-Plus-SÉRIE 3</v>
      </c>
      <c r="B87" t="s">
        <v>29</v>
      </c>
      <c r="C87" t="s">
        <v>125</v>
      </c>
      <c r="E87" t="s">
        <v>10</v>
      </c>
      <c r="F87" t="s">
        <v>47</v>
      </c>
      <c r="G87" s="11">
        <v>29729.043342393776</v>
      </c>
    </row>
    <row r="88" spans="1:7" hidden="1">
      <c r="A88" t="str">
        <f t="shared" si="1"/>
        <v>NOVO-07UA-Standard-SÉRIE 3</v>
      </c>
      <c r="B88" t="s">
        <v>29</v>
      </c>
      <c r="C88" t="s">
        <v>130</v>
      </c>
      <c r="D88" t="s">
        <v>264</v>
      </c>
      <c r="E88" t="s">
        <v>33</v>
      </c>
      <c r="F88" t="s">
        <v>47</v>
      </c>
      <c r="G88" s="11">
        <v>18494.230451372874</v>
      </c>
    </row>
    <row r="89" spans="1:7" hidden="1">
      <c r="A89" t="str">
        <f t="shared" si="1"/>
        <v>NOVO-07UB-Plus-SÉRIE 3</v>
      </c>
      <c r="B89" t="s">
        <v>29</v>
      </c>
      <c r="C89" t="s">
        <v>133</v>
      </c>
      <c r="E89" t="s">
        <v>10</v>
      </c>
      <c r="F89" t="s">
        <v>47</v>
      </c>
      <c r="G89" s="11">
        <v>36297.087801759844</v>
      </c>
    </row>
    <row r="90" spans="1:7" hidden="1">
      <c r="A90" t="str">
        <f t="shared" si="1"/>
        <v>NOVO-07US-Standard-SÉRIE 4</v>
      </c>
      <c r="B90" t="s">
        <v>29</v>
      </c>
      <c r="C90" t="s">
        <v>34</v>
      </c>
      <c r="D90" t="s">
        <v>254</v>
      </c>
      <c r="E90" t="s">
        <v>33</v>
      </c>
      <c r="F90" t="s">
        <v>52</v>
      </c>
      <c r="G90" s="11">
        <v>5098.8766197710256</v>
      </c>
    </row>
    <row r="91" spans="1:7" hidden="1">
      <c r="A91" t="str">
        <f t="shared" si="1"/>
        <v>NOVO-07D7-Plus-SÉRIE 4</v>
      </c>
      <c r="B91" t="s">
        <v>29</v>
      </c>
      <c r="C91" t="s">
        <v>42</v>
      </c>
      <c r="E91" t="s">
        <v>10</v>
      </c>
      <c r="F91" t="s">
        <v>52</v>
      </c>
      <c r="G91" s="11">
        <v>8987.8503128167231</v>
      </c>
    </row>
    <row r="92" spans="1:7" hidden="1">
      <c r="A92" t="str">
        <f t="shared" si="1"/>
        <v>NOVO-07NG-Standard-SÉRIE 4</v>
      </c>
      <c r="B92" t="s">
        <v>29</v>
      </c>
      <c r="C92" t="s">
        <v>49</v>
      </c>
      <c r="D92" t="s">
        <v>255</v>
      </c>
      <c r="E92" t="s">
        <v>33</v>
      </c>
      <c r="F92" t="s">
        <v>52</v>
      </c>
      <c r="G92" s="11">
        <v>9074.2719504399611</v>
      </c>
    </row>
    <row r="93" spans="1:7" hidden="1">
      <c r="A93" t="str">
        <f t="shared" si="1"/>
        <v>NOVO-07NM-Plus-SÉRIE 4</v>
      </c>
      <c r="B93" t="s">
        <v>29</v>
      </c>
      <c r="C93" t="s">
        <v>53</v>
      </c>
      <c r="E93" t="s">
        <v>10</v>
      </c>
      <c r="F93" t="s">
        <v>52</v>
      </c>
      <c r="G93" s="11">
        <v>19012.760277112298</v>
      </c>
    </row>
    <row r="94" spans="1:7" hidden="1">
      <c r="A94" t="str">
        <f t="shared" si="1"/>
        <v>NOVO-07DA-Standard-SÉRIE 4</v>
      </c>
      <c r="B94" t="s">
        <v>29</v>
      </c>
      <c r="C94" t="s">
        <v>58</v>
      </c>
      <c r="D94" t="s">
        <v>256</v>
      </c>
      <c r="E94" t="s">
        <v>33</v>
      </c>
      <c r="F94" t="s">
        <v>52</v>
      </c>
      <c r="G94" s="11">
        <v>13654.61874447156</v>
      </c>
    </row>
    <row r="95" spans="1:7" hidden="1">
      <c r="A95" t="str">
        <f t="shared" si="1"/>
        <v>NOVO-07DB-Plus-SÉRIE 4</v>
      </c>
      <c r="B95" t="s">
        <v>29</v>
      </c>
      <c r="C95" t="s">
        <v>62</v>
      </c>
      <c r="E95" t="s">
        <v>10</v>
      </c>
      <c r="F95" t="s">
        <v>52</v>
      </c>
      <c r="G95" s="11">
        <v>29210.513516654351</v>
      </c>
    </row>
    <row r="96" spans="1:7" hidden="1">
      <c r="A96" t="str">
        <f t="shared" si="1"/>
        <v>NOVO-07DD-Standard-SÉRIE 4</v>
      </c>
      <c r="B96" t="s">
        <v>29</v>
      </c>
      <c r="C96" t="s">
        <v>67</v>
      </c>
      <c r="D96" t="s">
        <v>257</v>
      </c>
      <c r="E96" t="s">
        <v>33</v>
      </c>
      <c r="F96" t="s">
        <v>52</v>
      </c>
      <c r="G96" s="11">
        <v>9160.6935880631991</v>
      </c>
    </row>
    <row r="97" spans="1:7" hidden="1">
      <c r="A97" t="str">
        <f t="shared" si="1"/>
        <v>NOVO-07DE-Plus-SÉRIE 4</v>
      </c>
      <c r="B97" t="s">
        <v>29</v>
      </c>
      <c r="C97" t="s">
        <v>71</v>
      </c>
      <c r="E97" t="s">
        <v>10</v>
      </c>
      <c r="F97" t="s">
        <v>52</v>
      </c>
      <c r="G97" s="11">
        <v>19185.603552358774</v>
      </c>
    </row>
    <row r="98" spans="1:7" hidden="1">
      <c r="A98" t="str">
        <f t="shared" si="1"/>
        <v>NOVO-07NX-Standard-SÉRIE 4</v>
      </c>
      <c r="B98" t="s">
        <v>29</v>
      </c>
      <c r="C98" t="s">
        <v>76</v>
      </c>
      <c r="D98" t="s">
        <v>258</v>
      </c>
      <c r="E98" t="s">
        <v>33</v>
      </c>
      <c r="F98" t="s">
        <v>52</v>
      </c>
      <c r="G98" s="11">
        <v>10889.126340527953</v>
      </c>
    </row>
    <row r="99" spans="1:7" hidden="1">
      <c r="A99" t="str">
        <f t="shared" si="1"/>
        <v>NOVO-07NY-Plus-SÉRIE 4</v>
      </c>
      <c r="B99" t="s">
        <v>29</v>
      </c>
      <c r="C99" t="s">
        <v>80</v>
      </c>
      <c r="E99" t="s">
        <v>10</v>
      </c>
      <c r="F99" t="s">
        <v>52</v>
      </c>
      <c r="G99" s="11">
        <v>23420.263795897423</v>
      </c>
    </row>
    <row r="100" spans="1:7" hidden="1">
      <c r="A100" t="str">
        <f t="shared" si="1"/>
        <v>NOVO-07N1-Standard-SÉRIE 4</v>
      </c>
      <c r="B100" t="s">
        <v>29</v>
      </c>
      <c r="C100" t="s">
        <v>85</v>
      </c>
      <c r="D100" t="s">
        <v>259</v>
      </c>
      <c r="E100" t="s">
        <v>33</v>
      </c>
      <c r="F100" t="s">
        <v>52</v>
      </c>
      <c r="G100" s="11">
        <v>13827.462019718036</v>
      </c>
    </row>
    <row r="101" spans="1:7" hidden="1">
      <c r="A101" t="str">
        <f t="shared" si="1"/>
        <v>NOVO-07N2-Plus-SÉRIE 4</v>
      </c>
      <c r="B101" t="s">
        <v>29</v>
      </c>
      <c r="C101" t="s">
        <v>89</v>
      </c>
      <c r="E101" t="s">
        <v>10</v>
      </c>
      <c r="F101" t="s">
        <v>52</v>
      </c>
      <c r="G101" s="11">
        <v>29469.778429524064</v>
      </c>
    </row>
    <row r="102" spans="1:7" hidden="1">
      <c r="A102" t="str">
        <f t="shared" si="1"/>
        <v>NOVO-07N4-Standard-SÉRIE 4</v>
      </c>
      <c r="B102" t="s">
        <v>29</v>
      </c>
      <c r="C102" t="s">
        <v>94</v>
      </c>
      <c r="D102" t="s">
        <v>260</v>
      </c>
      <c r="E102" t="s">
        <v>33</v>
      </c>
      <c r="F102" t="s">
        <v>52</v>
      </c>
      <c r="G102" s="11">
        <v>17802.85735038697</v>
      </c>
    </row>
    <row r="103" spans="1:7" hidden="1">
      <c r="A103" t="str">
        <f t="shared" si="1"/>
        <v>NOVO-07N5-Plus-SÉRIE 4</v>
      </c>
      <c r="B103" t="s">
        <v>29</v>
      </c>
      <c r="C103" t="s">
        <v>98</v>
      </c>
      <c r="E103" t="s">
        <v>10</v>
      </c>
      <c r="F103" t="s">
        <v>52</v>
      </c>
      <c r="G103" s="11">
        <v>35346.449787904225</v>
      </c>
    </row>
    <row r="104" spans="1:7" hidden="1">
      <c r="A104" t="str">
        <f t="shared" si="1"/>
        <v>NOVO-07NW-Standard-SÉRIE 4</v>
      </c>
      <c r="B104" t="s">
        <v>29</v>
      </c>
      <c r="C104" t="s">
        <v>103</v>
      </c>
      <c r="D104" t="s">
        <v>261</v>
      </c>
      <c r="E104" t="s">
        <v>33</v>
      </c>
      <c r="F104" t="s">
        <v>52</v>
      </c>
      <c r="G104" s="11">
        <v>9506.3801385561492</v>
      </c>
    </row>
    <row r="105" spans="1:7" hidden="1">
      <c r="A105" t="str">
        <f t="shared" si="1"/>
        <v>NOVO-07NK-Plus-SÉRIE 4</v>
      </c>
      <c r="B105" t="s">
        <v>29</v>
      </c>
      <c r="C105" t="s">
        <v>107</v>
      </c>
      <c r="E105" t="s">
        <v>10</v>
      </c>
      <c r="F105" t="s">
        <v>52</v>
      </c>
      <c r="G105" s="11">
        <v>19617.711740474962</v>
      </c>
    </row>
    <row r="106" spans="1:7" hidden="1">
      <c r="A106" t="str">
        <f t="shared" si="1"/>
        <v>NOVO-07N7-Standard-SÉRIE 4</v>
      </c>
      <c r="B106" t="s">
        <v>29</v>
      </c>
      <c r="C106" t="s">
        <v>112</v>
      </c>
      <c r="D106" t="s">
        <v>262</v>
      </c>
      <c r="E106" t="s">
        <v>33</v>
      </c>
      <c r="F106" t="s">
        <v>52</v>
      </c>
      <c r="G106" s="11">
        <v>11321.234528644141</v>
      </c>
    </row>
    <row r="107" spans="1:7" hidden="1">
      <c r="A107" t="str">
        <f t="shared" si="1"/>
        <v>NOVO-07N8-Plus-SÉRIE 4</v>
      </c>
      <c r="B107" t="s">
        <v>29</v>
      </c>
      <c r="C107" t="s">
        <v>116</v>
      </c>
      <c r="E107" t="s">
        <v>10</v>
      </c>
      <c r="F107" t="s">
        <v>52</v>
      </c>
      <c r="G107" s="11">
        <v>23765.950346390375</v>
      </c>
    </row>
    <row r="108" spans="1:7" hidden="1">
      <c r="A108" t="str">
        <f t="shared" si="1"/>
        <v>NOVO-07NH-Standard-SÉRIE 4</v>
      </c>
      <c r="B108" t="s">
        <v>29</v>
      </c>
      <c r="C108" t="s">
        <v>121</v>
      </c>
      <c r="D108" t="s">
        <v>263</v>
      </c>
      <c r="E108" t="s">
        <v>33</v>
      </c>
      <c r="F108" t="s">
        <v>52</v>
      </c>
      <c r="G108" s="11">
        <v>13913.883657341274</v>
      </c>
    </row>
    <row r="109" spans="1:7" hidden="1">
      <c r="A109" t="str">
        <f t="shared" si="1"/>
        <v>NOVO-07NA-Plus-SÉRIE 4</v>
      </c>
      <c r="B109" t="s">
        <v>29</v>
      </c>
      <c r="C109" t="s">
        <v>125</v>
      </c>
      <c r="E109" t="s">
        <v>10</v>
      </c>
      <c r="F109" t="s">
        <v>52</v>
      </c>
      <c r="G109" s="11">
        <v>29729.043342393776</v>
      </c>
    </row>
    <row r="110" spans="1:7" hidden="1">
      <c r="A110" t="str">
        <f t="shared" si="1"/>
        <v>NOVO-07UA-Standard-SÉRIE 4</v>
      </c>
      <c r="B110" t="s">
        <v>29</v>
      </c>
      <c r="C110" t="s">
        <v>130</v>
      </c>
      <c r="D110" t="s">
        <v>264</v>
      </c>
      <c r="E110" t="s">
        <v>33</v>
      </c>
      <c r="F110" t="s">
        <v>52</v>
      </c>
      <c r="G110" s="11">
        <v>18494.230451372874</v>
      </c>
    </row>
    <row r="111" spans="1:7" hidden="1">
      <c r="A111" t="str">
        <f t="shared" si="1"/>
        <v>NOVO-07UB-Plus-SÉRIE 4</v>
      </c>
      <c r="B111" t="s">
        <v>29</v>
      </c>
      <c r="C111" t="s">
        <v>133</v>
      </c>
      <c r="E111" t="s">
        <v>10</v>
      </c>
      <c r="F111" t="s">
        <v>52</v>
      </c>
      <c r="G111" s="11">
        <v>36297.087801759844</v>
      </c>
    </row>
    <row r="112" spans="1:7" hidden="1">
      <c r="A112" t="str">
        <f t="shared" si="1"/>
        <v>NOVO-07US-Standard-M3</v>
      </c>
      <c r="B112" t="s">
        <v>29</v>
      </c>
      <c r="C112" t="s">
        <v>34</v>
      </c>
      <c r="D112" t="s">
        <v>254</v>
      </c>
      <c r="E112" t="s">
        <v>33</v>
      </c>
      <c r="F112" t="s">
        <v>101</v>
      </c>
      <c r="G112" s="11">
        <v>10802.704702904715</v>
      </c>
    </row>
    <row r="113" spans="1:7" hidden="1">
      <c r="A113" t="str">
        <f t="shared" si="1"/>
        <v>NOVO-07D7-Plus-M3</v>
      </c>
      <c r="B113" t="s">
        <v>29</v>
      </c>
      <c r="C113" t="s">
        <v>42</v>
      </c>
      <c r="E113" t="s">
        <v>10</v>
      </c>
      <c r="F113" t="s">
        <v>101</v>
      </c>
      <c r="G113" s="11">
        <v>15123.786584066602</v>
      </c>
    </row>
    <row r="114" spans="1:7" hidden="1">
      <c r="A114" t="str">
        <f t="shared" si="1"/>
        <v>NOVO-07NG-Standard-M3</v>
      </c>
      <c r="B114" t="s">
        <v>29</v>
      </c>
      <c r="C114" t="s">
        <v>49</v>
      </c>
      <c r="D114" t="s">
        <v>255</v>
      </c>
      <c r="E114" t="s">
        <v>33</v>
      </c>
      <c r="F114" t="s">
        <v>101</v>
      </c>
      <c r="G114" s="11">
        <v>14950.943308820126</v>
      </c>
    </row>
    <row r="115" spans="1:7" hidden="1">
      <c r="A115" t="str">
        <f t="shared" si="1"/>
        <v>NOVO-07NM-Plus-M3</v>
      </c>
      <c r="B115" t="s">
        <v>29</v>
      </c>
      <c r="C115" t="s">
        <v>53</v>
      </c>
      <c r="E115" t="s">
        <v>10</v>
      </c>
      <c r="F115" t="s">
        <v>101</v>
      </c>
      <c r="G115" s="11">
        <v>35951.401251266892</v>
      </c>
    </row>
    <row r="116" spans="1:7" hidden="1">
      <c r="A116" t="str">
        <f t="shared" si="1"/>
        <v>NOVO-07DA-Standard-M3</v>
      </c>
      <c r="B116" t="s">
        <v>29</v>
      </c>
      <c r="C116" t="s">
        <v>58</v>
      </c>
      <c r="D116" t="s">
        <v>256</v>
      </c>
      <c r="E116" t="s">
        <v>33</v>
      </c>
      <c r="F116" t="s">
        <v>101</v>
      </c>
      <c r="G116" s="11">
        <v>24111.636896883323</v>
      </c>
    </row>
    <row r="117" spans="1:7" hidden="1">
      <c r="A117" t="str">
        <f t="shared" si="1"/>
        <v>NOVO-07DB-Plus-M3</v>
      </c>
      <c r="B117" t="s">
        <v>29</v>
      </c>
      <c r="C117" t="s">
        <v>62</v>
      </c>
      <c r="E117" t="s">
        <v>10</v>
      </c>
      <c r="F117" t="s">
        <v>101</v>
      </c>
      <c r="G117" s="11">
        <v>48136.85215614341</v>
      </c>
    </row>
    <row r="118" spans="1:7" hidden="1">
      <c r="A118" t="str">
        <f t="shared" si="1"/>
        <v>NOVO-07DD-Standard-M3</v>
      </c>
      <c r="B118" t="s">
        <v>29</v>
      </c>
      <c r="C118" t="s">
        <v>67</v>
      </c>
      <c r="D118" t="s">
        <v>257</v>
      </c>
      <c r="E118" t="s">
        <v>33</v>
      </c>
      <c r="F118" t="s">
        <v>101</v>
      </c>
      <c r="G118" s="11">
        <v>15469.473134559552</v>
      </c>
    </row>
    <row r="119" spans="1:7" hidden="1">
      <c r="A119" t="str">
        <f t="shared" si="1"/>
        <v>NOVO-07DE-Plus-M3</v>
      </c>
      <c r="B119" t="s">
        <v>29</v>
      </c>
      <c r="C119" t="s">
        <v>71</v>
      </c>
      <c r="E119" t="s">
        <v>10</v>
      </c>
      <c r="F119" t="s">
        <v>101</v>
      </c>
      <c r="G119" s="11">
        <v>36383.50943938308</v>
      </c>
    </row>
    <row r="120" spans="1:7" hidden="1">
      <c r="A120" t="str">
        <f t="shared" si="1"/>
        <v>NOVO-07NX-Standard-M3</v>
      </c>
      <c r="B120" t="s">
        <v>29</v>
      </c>
      <c r="C120" t="s">
        <v>76</v>
      </c>
      <c r="D120" t="s">
        <v>258</v>
      </c>
      <c r="E120" t="s">
        <v>33</v>
      </c>
      <c r="F120" t="s">
        <v>101</v>
      </c>
      <c r="G120" s="11">
        <v>18580.65208899611</v>
      </c>
    </row>
    <row r="121" spans="1:7" hidden="1">
      <c r="A121" t="str">
        <f t="shared" si="1"/>
        <v>NOVO-07NY-Plus-M3</v>
      </c>
      <c r="B121" t="s">
        <v>29</v>
      </c>
      <c r="C121" t="s">
        <v>80</v>
      </c>
      <c r="E121" t="s">
        <v>10</v>
      </c>
      <c r="F121" t="s">
        <v>101</v>
      </c>
      <c r="G121" s="11">
        <v>45198.516476953329</v>
      </c>
    </row>
    <row r="122" spans="1:7" hidden="1">
      <c r="A122" t="str">
        <f t="shared" si="1"/>
        <v>NOVO-07N1-Standard-M3</v>
      </c>
      <c r="B122" t="s">
        <v>29</v>
      </c>
      <c r="C122" t="s">
        <v>85</v>
      </c>
      <c r="D122" t="s">
        <v>259</v>
      </c>
      <c r="E122" t="s">
        <v>33</v>
      </c>
      <c r="F122" t="s">
        <v>101</v>
      </c>
      <c r="G122" s="11">
        <v>24284.480172129799</v>
      </c>
    </row>
    <row r="123" spans="1:7" hidden="1">
      <c r="A123" t="str">
        <f t="shared" si="1"/>
        <v>NOVO-07N2-Plus-M3</v>
      </c>
      <c r="B123" t="s">
        <v>29</v>
      </c>
      <c r="C123" t="s">
        <v>89</v>
      </c>
      <c r="E123" t="s">
        <v>10</v>
      </c>
      <c r="F123" t="s">
        <v>101</v>
      </c>
      <c r="G123" s="11">
        <v>51161.609472956734</v>
      </c>
    </row>
    <row r="124" spans="1:7" hidden="1">
      <c r="A124" t="str">
        <f t="shared" si="1"/>
        <v>NOVO-07N4-Standard-M3</v>
      </c>
      <c r="B124" t="s">
        <v>29</v>
      </c>
      <c r="C124" t="s">
        <v>94</v>
      </c>
      <c r="D124" t="s">
        <v>260</v>
      </c>
      <c r="E124" t="s">
        <v>33</v>
      </c>
      <c r="F124" t="s">
        <v>101</v>
      </c>
      <c r="G124" s="11">
        <v>29901.886617640252</v>
      </c>
    </row>
    <row r="125" spans="1:7" hidden="1">
      <c r="A125" t="str">
        <f t="shared" si="1"/>
        <v>NOVO-07N5-Plus-M3</v>
      </c>
      <c r="B125" t="s">
        <v>29</v>
      </c>
      <c r="C125" t="s">
        <v>98</v>
      </c>
      <c r="E125" t="s">
        <v>10</v>
      </c>
      <c r="F125" t="s">
        <v>101</v>
      </c>
      <c r="G125" s="11">
        <v>71643.537589664076</v>
      </c>
    </row>
    <row r="126" spans="1:7" hidden="1">
      <c r="A126" t="str">
        <f t="shared" si="1"/>
        <v>NOVO-07NW-Standard-M3</v>
      </c>
      <c r="B126" t="s">
        <v>29</v>
      </c>
      <c r="C126" t="s">
        <v>103</v>
      </c>
      <c r="D126" t="s">
        <v>261</v>
      </c>
      <c r="E126" t="s">
        <v>33</v>
      </c>
      <c r="F126" t="s">
        <v>101</v>
      </c>
      <c r="G126" s="11">
        <v>15901.58132267574</v>
      </c>
    </row>
    <row r="127" spans="1:7" hidden="1">
      <c r="A127" t="str">
        <f t="shared" si="1"/>
        <v>NOVO-07NK-Plus-M3</v>
      </c>
      <c r="B127" t="s">
        <v>29</v>
      </c>
      <c r="C127" t="s">
        <v>107</v>
      </c>
      <c r="E127" t="s">
        <v>10</v>
      </c>
      <c r="F127" t="s">
        <v>101</v>
      </c>
      <c r="G127" s="11">
        <v>36902.039265122505</v>
      </c>
    </row>
    <row r="128" spans="1:7" hidden="1">
      <c r="A128" t="str">
        <f t="shared" si="1"/>
        <v>NOVO-07N7-Standard-M3</v>
      </c>
      <c r="B128" t="s">
        <v>29</v>
      </c>
      <c r="C128" t="s">
        <v>112</v>
      </c>
      <c r="D128" t="s">
        <v>262</v>
      </c>
      <c r="E128" t="s">
        <v>33</v>
      </c>
      <c r="F128" t="s">
        <v>101</v>
      </c>
      <c r="G128" s="11">
        <v>19185.603552358774</v>
      </c>
    </row>
    <row r="129" spans="1:7" hidden="1">
      <c r="A129" t="str">
        <f t="shared" si="1"/>
        <v>NOVO-07N8-Plus-M3</v>
      </c>
      <c r="B129" t="s">
        <v>29</v>
      </c>
      <c r="C129" t="s">
        <v>116</v>
      </c>
      <c r="E129" t="s">
        <v>10</v>
      </c>
      <c r="F129" t="s">
        <v>101</v>
      </c>
      <c r="G129" s="11">
        <v>45717.046302692754</v>
      </c>
    </row>
    <row r="130" spans="1:7" hidden="1">
      <c r="A130" t="str">
        <f t="shared" ref="A130:A193" si="2">B130&amp;"-"&amp;C130&amp;"-"&amp;E130&amp;"-"&amp;F130</f>
        <v>NOVO-07NH-Standard-M3</v>
      </c>
      <c r="B130" t="s">
        <v>29</v>
      </c>
      <c r="C130" t="s">
        <v>121</v>
      </c>
      <c r="D130" t="s">
        <v>263</v>
      </c>
      <c r="E130" t="s">
        <v>33</v>
      </c>
      <c r="F130" t="s">
        <v>101</v>
      </c>
      <c r="G130" s="11">
        <v>24370.901809753039</v>
      </c>
    </row>
    <row r="131" spans="1:7" hidden="1">
      <c r="A131" t="str">
        <f t="shared" si="2"/>
        <v>NOVO-07NA-Plus-M3</v>
      </c>
      <c r="B131" t="s">
        <v>29</v>
      </c>
      <c r="C131" t="s">
        <v>125</v>
      </c>
      <c r="E131" t="s">
        <v>10</v>
      </c>
      <c r="F131" t="s">
        <v>101</v>
      </c>
      <c r="G131" s="11">
        <v>51420.874385826442</v>
      </c>
    </row>
    <row r="132" spans="1:7" hidden="1">
      <c r="A132" t="str">
        <f t="shared" si="2"/>
        <v>NOVO-07UA-Standard-M3</v>
      </c>
      <c r="B132" t="s">
        <v>29</v>
      </c>
      <c r="C132" t="s">
        <v>130</v>
      </c>
      <c r="D132" t="s">
        <v>264</v>
      </c>
      <c r="E132" t="s">
        <v>33</v>
      </c>
      <c r="F132" t="s">
        <v>101</v>
      </c>
      <c r="G132" s="11">
        <v>31457.476094858532</v>
      </c>
    </row>
    <row r="133" spans="1:7" hidden="1">
      <c r="A133" t="str">
        <f t="shared" si="2"/>
        <v>NOVO-07UB-Plus-M3</v>
      </c>
      <c r="B133" t="s">
        <v>29</v>
      </c>
      <c r="C133" t="s">
        <v>133</v>
      </c>
      <c r="E133" t="s">
        <v>10</v>
      </c>
      <c r="F133" t="s">
        <v>101</v>
      </c>
      <c r="G133" s="11">
        <v>75532.511282709762</v>
      </c>
    </row>
    <row r="134" spans="1:7" hidden="1">
      <c r="A134" t="str">
        <f t="shared" si="2"/>
        <v>NOVO-07US-Standard-M4</v>
      </c>
      <c r="B134" t="s">
        <v>29</v>
      </c>
      <c r="C134" t="s">
        <v>34</v>
      </c>
      <c r="D134" t="s">
        <v>254</v>
      </c>
      <c r="E134" t="s">
        <v>33</v>
      </c>
      <c r="F134" t="s">
        <v>106</v>
      </c>
      <c r="G134" s="11">
        <v>10802.704702904715</v>
      </c>
    </row>
    <row r="135" spans="1:7" hidden="1">
      <c r="A135" t="str">
        <f t="shared" si="2"/>
        <v>NOVO-07D7-Plus-M4</v>
      </c>
      <c r="B135" t="s">
        <v>29</v>
      </c>
      <c r="C135" t="s">
        <v>42</v>
      </c>
      <c r="E135" t="s">
        <v>10</v>
      </c>
      <c r="F135" t="s">
        <v>106</v>
      </c>
      <c r="G135" s="11">
        <v>15123.786584066602</v>
      </c>
    </row>
    <row r="136" spans="1:7" hidden="1">
      <c r="A136" t="str">
        <f t="shared" si="2"/>
        <v>NOVO-07NG-Standard-M4</v>
      </c>
      <c r="B136" t="s">
        <v>29</v>
      </c>
      <c r="C136" t="s">
        <v>49</v>
      </c>
      <c r="D136" t="s">
        <v>255</v>
      </c>
      <c r="E136" t="s">
        <v>33</v>
      </c>
      <c r="F136" t="s">
        <v>106</v>
      </c>
      <c r="G136" s="11">
        <v>14950.943308820126</v>
      </c>
    </row>
    <row r="137" spans="1:7" hidden="1">
      <c r="A137" t="str">
        <f t="shared" si="2"/>
        <v>NOVO-07NM-Plus-M4</v>
      </c>
      <c r="B137" t="s">
        <v>29</v>
      </c>
      <c r="C137" t="s">
        <v>53</v>
      </c>
      <c r="E137" t="s">
        <v>10</v>
      </c>
      <c r="F137" t="s">
        <v>106</v>
      </c>
      <c r="G137" s="11">
        <v>35951.401251266892</v>
      </c>
    </row>
    <row r="138" spans="1:7" hidden="1">
      <c r="A138" t="str">
        <f t="shared" si="2"/>
        <v>NOVO-07DA-Standard-M4</v>
      </c>
      <c r="B138" t="s">
        <v>29</v>
      </c>
      <c r="C138" t="s">
        <v>58</v>
      </c>
      <c r="D138" t="s">
        <v>256</v>
      </c>
      <c r="E138" t="s">
        <v>33</v>
      </c>
      <c r="F138" t="s">
        <v>106</v>
      </c>
      <c r="G138" s="11">
        <v>24111.636896883323</v>
      </c>
    </row>
    <row r="139" spans="1:7" hidden="1">
      <c r="A139" t="str">
        <f t="shared" si="2"/>
        <v>NOVO-07DB-Plus-M4</v>
      </c>
      <c r="B139" t="s">
        <v>29</v>
      </c>
      <c r="C139" t="s">
        <v>62</v>
      </c>
      <c r="E139" t="s">
        <v>10</v>
      </c>
      <c r="F139" t="s">
        <v>106</v>
      </c>
      <c r="G139" s="11">
        <v>48136.85215614341</v>
      </c>
    </row>
    <row r="140" spans="1:7" hidden="1">
      <c r="A140" t="str">
        <f t="shared" si="2"/>
        <v>NOVO-07DD-Standard-M4</v>
      </c>
      <c r="B140" t="s">
        <v>29</v>
      </c>
      <c r="C140" t="s">
        <v>67</v>
      </c>
      <c r="D140" t="s">
        <v>257</v>
      </c>
      <c r="E140" t="s">
        <v>33</v>
      </c>
      <c r="F140" t="s">
        <v>106</v>
      </c>
      <c r="G140" s="11">
        <v>15469.473134559552</v>
      </c>
    </row>
    <row r="141" spans="1:7" hidden="1">
      <c r="A141" t="str">
        <f t="shared" si="2"/>
        <v>NOVO-07DE-Plus-M4</v>
      </c>
      <c r="B141" t="s">
        <v>29</v>
      </c>
      <c r="C141" t="s">
        <v>71</v>
      </c>
      <c r="E141" t="s">
        <v>10</v>
      </c>
      <c r="F141" t="s">
        <v>106</v>
      </c>
      <c r="G141" s="11">
        <v>36383.50943938308</v>
      </c>
    </row>
    <row r="142" spans="1:7" hidden="1">
      <c r="A142" t="str">
        <f t="shared" si="2"/>
        <v>NOVO-07NX-Standard-M4</v>
      </c>
      <c r="B142" t="s">
        <v>29</v>
      </c>
      <c r="C142" t="s">
        <v>76</v>
      </c>
      <c r="D142" t="s">
        <v>258</v>
      </c>
      <c r="E142" t="s">
        <v>33</v>
      </c>
      <c r="F142" t="s">
        <v>106</v>
      </c>
      <c r="G142" s="11">
        <v>18580.65208899611</v>
      </c>
    </row>
    <row r="143" spans="1:7" hidden="1">
      <c r="A143" t="str">
        <f t="shared" si="2"/>
        <v>NOVO-07NY-Plus-M4</v>
      </c>
      <c r="B143" t="s">
        <v>29</v>
      </c>
      <c r="C143" t="s">
        <v>80</v>
      </c>
      <c r="E143" t="s">
        <v>10</v>
      </c>
      <c r="F143" t="s">
        <v>106</v>
      </c>
      <c r="G143" s="11">
        <v>45198.516476953329</v>
      </c>
    </row>
    <row r="144" spans="1:7" hidden="1">
      <c r="A144" t="str">
        <f t="shared" si="2"/>
        <v>NOVO-07N1-Standard-M4</v>
      </c>
      <c r="B144" t="s">
        <v>29</v>
      </c>
      <c r="C144" t="s">
        <v>85</v>
      </c>
      <c r="D144" t="s">
        <v>259</v>
      </c>
      <c r="E144" t="s">
        <v>33</v>
      </c>
      <c r="F144" t="s">
        <v>106</v>
      </c>
      <c r="G144" s="11">
        <v>24284.480172129799</v>
      </c>
    </row>
    <row r="145" spans="1:7" hidden="1">
      <c r="A145" t="str">
        <f t="shared" si="2"/>
        <v>NOVO-07N2-Plus-M4</v>
      </c>
      <c r="B145" t="s">
        <v>29</v>
      </c>
      <c r="C145" t="s">
        <v>89</v>
      </c>
      <c r="E145" t="s">
        <v>10</v>
      </c>
      <c r="F145" t="s">
        <v>106</v>
      </c>
      <c r="G145" s="11">
        <v>51161.609472956734</v>
      </c>
    </row>
    <row r="146" spans="1:7" hidden="1">
      <c r="A146" t="str">
        <f t="shared" si="2"/>
        <v>NOVO-07N4-Standard-M4</v>
      </c>
      <c r="B146" t="s">
        <v>29</v>
      </c>
      <c r="C146" t="s">
        <v>94</v>
      </c>
      <c r="D146" t="s">
        <v>260</v>
      </c>
      <c r="E146" t="s">
        <v>33</v>
      </c>
      <c r="F146" t="s">
        <v>106</v>
      </c>
      <c r="G146" s="11">
        <v>29901.886617640252</v>
      </c>
    </row>
    <row r="147" spans="1:7" hidden="1">
      <c r="A147" t="str">
        <f t="shared" si="2"/>
        <v>NOVO-07N5-Plus-M4</v>
      </c>
      <c r="B147" t="s">
        <v>29</v>
      </c>
      <c r="C147" t="s">
        <v>98</v>
      </c>
      <c r="E147" t="s">
        <v>10</v>
      </c>
      <c r="F147" t="s">
        <v>106</v>
      </c>
      <c r="G147" s="11">
        <v>71643.537589664076</v>
      </c>
    </row>
    <row r="148" spans="1:7" hidden="1">
      <c r="A148" t="str">
        <f t="shared" si="2"/>
        <v>NOVO-07NW-Standard-M4</v>
      </c>
      <c r="B148" t="s">
        <v>29</v>
      </c>
      <c r="C148" t="s">
        <v>103</v>
      </c>
      <c r="D148" t="s">
        <v>261</v>
      </c>
      <c r="E148" t="s">
        <v>33</v>
      </c>
      <c r="F148" t="s">
        <v>106</v>
      </c>
      <c r="G148" s="11">
        <v>15901.58132267574</v>
      </c>
    </row>
    <row r="149" spans="1:7" hidden="1">
      <c r="A149" t="str">
        <f t="shared" si="2"/>
        <v>NOVO-07NK-Plus-M4</v>
      </c>
      <c r="B149" t="s">
        <v>29</v>
      </c>
      <c r="C149" t="s">
        <v>107</v>
      </c>
      <c r="E149" t="s">
        <v>10</v>
      </c>
      <c r="F149" t="s">
        <v>106</v>
      </c>
      <c r="G149" s="11">
        <v>36902.039265122505</v>
      </c>
    </row>
    <row r="150" spans="1:7" hidden="1">
      <c r="A150" t="str">
        <f t="shared" si="2"/>
        <v>NOVO-07N7-Standard-M4</v>
      </c>
      <c r="B150" t="s">
        <v>29</v>
      </c>
      <c r="C150" t="s">
        <v>112</v>
      </c>
      <c r="D150" t="s">
        <v>262</v>
      </c>
      <c r="E150" t="s">
        <v>33</v>
      </c>
      <c r="F150" t="s">
        <v>106</v>
      </c>
      <c r="G150" s="11">
        <v>19185.603552358774</v>
      </c>
    </row>
    <row r="151" spans="1:7" hidden="1">
      <c r="A151" t="str">
        <f t="shared" si="2"/>
        <v>NOVO-07N8-Plus-M4</v>
      </c>
      <c r="B151" t="s">
        <v>29</v>
      </c>
      <c r="C151" t="s">
        <v>116</v>
      </c>
      <c r="E151" t="s">
        <v>10</v>
      </c>
      <c r="F151" t="s">
        <v>106</v>
      </c>
      <c r="G151" s="11">
        <v>45717.046302692754</v>
      </c>
    </row>
    <row r="152" spans="1:7" hidden="1">
      <c r="A152" t="str">
        <f t="shared" si="2"/>
        <v>NOVO-07NH-Standard-M4</v>
      </c>
      <c r="B152" t="s">
        <v>29</v>
      </c>
      <c r="C152" t="s">
        <v>121</v>
      </c>
      <c r="D152" t="s">
        <v>263</v>
      </c>
      <c r="E152" t="s">
        <v>33</v>
      </c>
      <c r="F152" t="s">
        <v>106</v>
      </c>
      <c r="G152" s="11">
        <v>24370.901809753039</v>
      </c>
    </row>
    <row r="153" spans="1:7" hidden="1">
      <c r="A153" t="str">
        <f t="shared" si="2"/>
        <v>NOVO-07NA-Plus-M4</v>
      </c>
      <c r="B153" t="s">
        <v>29</v>
      </c>
      <c r="C153" t="s">
        <v>125</v>
      </c>
      <c r="E153" t="s">
        <v>10</v>
      </c>
      <c r="F153" t="s">
        <v>106</v>
      </c>
      <c r="G153" s="11">
        <v>51420.874385826442</v>
      </c>
    </row>
    <row r="154" spans="1:7" hidden="1">
      <c r="A154" t="str">
        <f t="shared" si="2"/>
        <v>NOVO-07UA-Standard-M4</v>
      </c>
      <c r="B154" t="s">
        <v>29</v>
      </c>
      <c r="C154" t="s">
        <v>130</v>
      </c>
      <c r="D154" t="s">
        <v>264</v>
      </c>
      <c r="E154" t="s">
        <v>33</v>
      </c>
      <c r="F154" t="s">
        <v>106</v>
      </c>
      <c r="G154" s="11">
        <v>31457.476094858532</v>
      </c>
    </row>
    <row r="155" spans="1:7" hidden="1">
      <c r="A155" t="str">
        <f t="shared" si="2"/>
        <v>NOVO-07UB-Plus-M4</v>
      </c>
      <c r="B155" t="s">
        <v>29</v>
      </c>
      <c r="C155" t="s">
        <v>133</v>
      </c>
      <c r="E155" t="s">
        <v>10</v>
      </c>
      <c r="F155" t="s">
        <v>106</v>
      </c>
      <c r="G155" s="11">
        <v>75532.511282709762</v>
      </c>
    </row>
    <row r="156" spans="1:7" hidden="1">
      <c r="A156" t="str">
        <f t="shared" si="2"/>
        <v>NOVO-07US-Standard-SÉRIE 5</v>
      </c>
      <c r="B156" t="s">
        <v>29</v>
      </c>
      <c r="C156" t="s">
        <v>34</v>
      </c>
      <c r="D156" t="s">
        <v>254</v>
      </c>
      <c r="E156" t="s">
        <v>33</v>
      </c>
      <c r="F156" t="s">
        <v>56</v>
      </c>
      <c r="G156" s="11">
        <v>5876.6713583801647</v>
      </c>
    </row>
    <row r="157" spans="1:7" hidden="1">
      <c r="A157" t="str">
        <f t="shared" si="2"/>
        <v>NOVO-07D7-Plus-SÉRIE 5</v>
      </c>
      <c r="B157" t="s">
        <v>29</v>
      </c>
      <c r="C157" t="s">
        <v>42</v>
      </c>
      <c r="E157" t="s">
        <v>10</v>
      </c>
      <c r="F157" t="s">
        <v>56</v>
      </c>
      <c r="G157" s="11">
        <v>9765.6450514258631</v>
      </c>
    </row>
    <row r="158" spans="1:7" hidden="1">
      <c r="A158" t="str">
        <f t="shared" si="2"/>
        <v>NOVO-07NG-Standard-SÉRIE 5</v>
      </c>
      <c r="B158" t="s">
        <v>29</v>
      </c>
      <c r="C158" t="s">
        <v>49</v>
      </c>
      <c r="D158" t="s">
        <v>255</v>
      </c>
      <c r="E158" t="s">
        <v>33</v>
      </c>
      <c r="F158" t="s">
        <v>56</v>
      </c>
      <c r="G158" s="11">
        <v>10889.126340527953</v>
      </c>
    </row>
    <row r="159" spans="1:7" hidden="1">
      <c r="A159" t="str">
        <f t="shared" si="2"/>
        <v>NOVO-07NM-Plus-SÉRIE 5</v>
      </c>
      <c r="B159" t="s">
        <v>29</v>
      </c>
      <c r="C159" t="s">
        <v>53</v>
      </c>
      <c r="E159" t="s">
        <v>10</v>
      </c>
      <c r="F159" t="s">
        <v>56</v>
      </c>
      <c r="G159" s="11">
        <v>23333.842158274183</v>
      </c>
    </row>
    <row r="160" spans="1:7" hidden="1">
      <c r="A160" t="str">
        <f t="shared" si="2"/>
        <v>NOVO-07DA-Standard-SÉRIE 5</v>
      </c>
      <c r="B160" t="s">
        <v>29</v>
      </c>
      <c r="C160" t="s">
        <v>58</v>
      </c>
      <c r="D160" t="s">
        <v>256</v>
      </c>
      <c r="E160" t="s">
        <v>33</v>
      </c>
      <c r="F160" t="s">
        <v>56</v>
      </c>
      <c r="G160" s="11">
        <v>17025.06261177783</v>
      </c>
    </row>
    <row r="161" spans="1:7" hidden="1">
      <c r="A161" t="str">
        <f t="shared" si="2"/>
        <v>NOVO-07DB-Plus-SÉRIE 5</v>
      </c>
      <c r="B161" t="s">
        <v>29</v>
      </c>
      <c r="C161" t="s">
        <v>62</v>
      </c>
      <c r="E161" t="s">
        <v>10</v>
      </c>
      <c r="F161" t="s">
        <v>56</v>
      </c>
      <c r="G161" s="11">
        <v>34741.498324541564</v>
      </c>
    </row>
    <row r="162" spans="1:7" hidden="1">
      <c r="A162" t="str">
        <f t="shared" si="2"/>
        <v>NOVO-07DD-Standard-SÉRIE 5</v>
      </c>
      <c r="B162" t="s">
        <v>29</v>
      </c>
      <c r="C162" t="s">
        <v>67</v>
      </c>
      <c r="D162" t="s">
        <v>257</v>
      </c>
      <c r="E162" t="s">
        <v>33</v>
      </c>
      <c r="F162" t="s">
        <v>56</v>
      </c>
      <c r="G162" s="11">
        <v>11061.969615774429</v>
      </c>
    </row>
    <row r="163" spans="1:7" hidden="1">
      <c r="A163" t="str">
        <f t="shared" si="2"/>
        <v>NOVO-07DE-Plus-SÉRIE 5</v>
      </c>
      <c r="B163" t="s">
        <v>29</v>
      </c>
      <c r="C163" t="s">
        <v>71</v>
      </c>
      <c r="E163" t="s">
        <v>10</v>
      </c>
      <c r="F163" t="s">
        <v>56</v>
      </c>
      <c r="G163" s="11">
        <v>23506.685433520659</v>
      </c>
    </row>
    <row r="164" spans="1:7" hidden="1">
      <c r="A164" t="str">
        <f t="shared" si="2"/>
        <v>NOVO-07NX-Standard-SÉRIE 5</v>
      </c>
      <c r="B164" t="s">
        <v>29</v>
      </c>
      <c r="C164" t="s">
        <v>76</v>
      </c>
      <c r="D164" t="s">
        <v>258</v>
      </c>
      <c r="E164" t="s">
        <v>33</v>
      </c>
      <c r="F164" t="s">
        <v>56</v>
      </c>
      <c r="G164" s="11">
        <v>13308.93219397861</v>
      </c>
    </row>
    <row r="165" spans="1:7" hidden="1">
      <c r="A165" t="str">
        <f t="shared" si="2"/>
        <v>NOVO-07NY-Plus-SÉRIE 5</v>
      </c>
      <c r="B165" t="s">
        <v>29</v>
      </c>
      <c r="C165" t="s">
        <v>80</v>
      </c>
      <c r="E165" t="s">
        <v>10</v>
      </c>
      <c r="F165" t="s">
        <v>56</v>
      </c>
      <c r="G165" s="11">
        <v>28087.032227552259</v>
      </c>
    </row>
    <row r="166" spans="1:7" hidden="1">
      <c r="A166" t="str">
        <f t="shared" si="2"/>
        <v>NOVO-07N1-Standard-SÉRIE 5</v>
      </c>
      <c r="B166" t="s">
        <v>29</v>
      </c>
      <c r="C166" t="s">
        <v>85</v>
      </c>
      <c r="D166" t="s">
        <v>259</v>
      </c>
      <c r="E166" t="s">
        <v>33</v>
      </c>
      <c r="F166" t="s">
        <v>56</v>
      </c>
      <c r="G166" s="11">
        <v>17111.48424940107</v>
      </c>
    </row>
    <row r="167" spans="1:7" hidden="1">
      <c r="A167" t="str">
        <f t="shared" si="2"/>
        <v>NOVO-07N2-Plus-SÉRIE 5</v>
      </c>
      <c r="B167" t="s">
        <v>29</v>
      </c>
      <c r="C167" t="s">
        <v>89</v>
      </c>
      <c r="E167" t="s">
        <v>10</v>
      </c>
      <c r="F167" t="s">
        <v>56</v>
      </c>
      <c r="G167" s="11">
        <v>35087.184875034516</v>
      </c>
    </row>
    <row r="168" spans="1:7" hidden="1">
      <c r="A168" t="str">
        <f t="shared" si="2"/>
        <v>NOVO-07N4-Standard-SÉRIE 5</v>
      </c>
      <c r="B168" t="s">
        <v>29</v>
      </c>
      <c r="C168" t="s">
        <v>94</v>
      </c>
      <c r="D168" t="s">
        <v>260</v>
      </c>
      <c r="E168" t="s">
        <v>33</v>
      </c>
      <c r="F168" t="s">
        <v>56</v>
      </c>
      <c r="G168" s="11">
        <v>22123.939231548859</v>
      </c>
    </row>
    <row r="169" spans="1:7" hidden="1">
      <c r="A169" t="str">
        <f t="shared" si="2"/>
        <v>NOVO-07N5-Plus-SÉRIE 5</v>
      </c>
      <c r="B169" t="s">
        <v>29</v>
      </c>
      <c r="C169" t="s">
        <v>98</v>
      </c>
      <c r="E169" t="s">
        <v>10</v>
      </c>
      <c r="F169" t="s">
        <v>56</v>
      </c>
      <c r="G169" s="11">
        <v>42173.759160140005</v>
      </c>
    </row>
    <row r="170" spans="1:7" hidden="1">
      <c r="A170" t="str">
        <f t="shared" si="2"/>
        <v>NOVO-07NW-Standard-SÉRIE 5</v>
      </c>
      <c r="B170" t="s">
        <v>29</v>
      </c>
      <c r="C170" t="s">
        <v>103</v>
      </c>
      <c r="D170" t="s">
        <v>261</v>
      </c>
      <c r="E170" t="s">
        <v>33</v>
      </c>
      <c r="F170" t="s">
        <v>56</v>
      </c>
      <c r="G170" s="11">
        <v>11839.764354383567</v>
      </c>
    </row>
    <row r="171" spans="1:7" hidden="1">
      <c r="A171" t="str">
        <f t="shared" si="2"/>
        <v>NOVO-07NK-Plus-SÉRIE 5</v>
      </c>
      <c r="B171" t="s">
        <v>29</v>
      </c>
      <c r="C171" t="s">
        <v>107</v>
      </c>
      <c r="E171" t="s">
        <v>10</v>
      </c>
      <c r="F171" t="s">
        <v>56</v>
      </c>
      <c r="G171" s="11">
        <v>24111.636896883323</v>
      </c>
    </row>
    <row r="172" spans="1:7" hidden="1">
      <c r="A172" t="str">
        <f t="shared" si="2"/>
        <v>NOVO-07N7-Standard-SÉRIE 5</v>
      </c>
      <c r="B172" t="s">
        <v>29</v>
      </c>
      <c r="C172" t="s">
        <v>112</v>
      </c>
      <c r="D172" t="s">
        <v>262</v>
      </c>
      <c r="E172" t="s">
        <v>33</v>
      </c>
      <c r="F172" t="s">
        <v>56</v>
      </c>
      <c r="G172" s="11">
        <v>14173.148570210986</v>
      </c>
    </row>
    <row r="173" spans="1:7" hidden="1">
      <c r="A173" t="str">
        <f t="shared" si="2"/>
        <v>NOVO-07N8-Plus-SÉRIE 5</v>
      </c>
      <c r="B173" t="s">
        <v>29</v>
      </c>
      <c r="C173" t="s">
        <v>116</v>
      </c>
      <c r="E173" t="s">
        <v>10</v>
      </c>
      <c r="F173" t="s">
        <v>56</v>
      </c>
      <c r="G173" s="11">
        <v>28951.248603784636</v>
      </c>
    </row>
    <row r="174" spans="1:7" hidden="1">
      <c r="A174" t="str">
        <f t="shared" si="2"/>
        <v>NOVO-07NH-Standard-SÉRIE 5</v>
      </c>
      <c r="B174" t="s">
        <v>29</v>
      </c>
      <c r="C174" t="s">
        <v>121</v>
      </c>
      <c r="D174" t="s">
        <v>263</v>
      </c>
      <c r="E174" t="s">
        <v>33</v>
      </c>
      <c r="F174" t="s">
        <v>56</v>
      </c>
      <c r="G174" s="11">
        <v>17197.905887024306</v>
      </c>
    </row>
    <row r="175" spans="1:7" hidden="1">
      <c r="A175" t="str">
        <f t="shared" si="2"/>
        <v>NOVO-07NA-Plus-SÉRIE 5</v>
      </c>
      <c r="B175" t="s">
        <v>29</v>
      </c>
      <c r="C175" t="s">
        <v>125</v>
      </c>
      <c r="E175" t="s">
        <v>10</v>
      </c>
      <c r="F175" t="s">
        <v>56</v>
      </c>
      <c r="G175" s="11">
        <v>35519.293063150704</v>
      </c>
    </row>
    <row r="176" spans="1:7" hidden="1">
      <c r="A176" t="str">
        <f t="shared" si="2"/>
        <v>NOVO-07UA-Standard-SÉRIE 5</v>
      </c>
      <c r="B176" t="s">
        <v>29</v>
      </c>
      <c r="C176" t="s">
        <v>130</v>
      </c>
      <c r="D176" t="s">
        <v>264</v>
      </c>
      <c r="E176" t="s">
        <v>33</v>
      </c>
      <c r="F176" t="s">
        <v>56</v>
      </c>
      <c r="G176" s="11">
        <v>23247.420520650947</v>
      </c>
    </row>
    <row r="177" spans="1:7" hidden="1">
      <c r="A177" t="str">
        <f t="shared" si="2"/>
        <v>NOVO-07UB-Plus-SÉRIE 5</v>
      </c>
      <c r="B177" t="s">
        <v>29</v>
      </c>
      <c r="C177" t="s">
        <v>133</v>
      </c>
      <c r="E177" t="s">
        <v>10</v>
      </c>
      <c r="F177" t="s">
        <v>56</v>
      </c>
      <c r="G177" s="11">
        <v>43470.083724488577</v>
      </c>
    </row>
    <row r="178" spans="1:7" hidden="1">
      <c r="A178" t="str">
        <f t="shared" si="2"/>
        <v>NOVO-07US-Standard-SÉRIE 6</v>
      </c>
      <c r="B178" t="s">
        <v>29</v>
      </c>
      <c r="C178" t="s">
        <v>34</v>
      </c>
      <c r="D178" t="s">
        <v>254</v>
      </c>
      <c r="E178" t="s">
        <v>33</v>
      </c>
      <c r="F178" t="s">
        <v>61</v>
      </c>
      <c r="G178" s="11">
        <v>5876.6713583801647</v>
      </c>
    </row>
    <row r="179" spans="1:7" hidden="1">
      <c r="A179" t="str">
        <f t="shared" si="2"/>
        <v>NOVO-07D7-Plus-SÉRIE 6</v>
      </c>
      <c r="B179" t="s">
        <v>29</v>
      </c>
      <c r="C179" t="s">
        <v>42</v>
      </c>
      <c r="E179" t="s">
        <v>10</v>
      </c>
      <c r="F179" t="s">
        <v>61</v>
      </c>
      <c r="G179" s="11">
        <v>9765.6450514258631</v>
      </c>
    </row>
    <row r="180" spans="1:7" hidden="1">
      <c r="A180" t="str">
        <f t="shared" si="2"/>
        <v>NOVO-07NG-Standard-SÉRIE 6</v>
      </c>
      <c r="B180" t="s">
        <v>29</v>
      </c>
      <c r="C180" t="s">
        <v>49</v>
      </c>
      <c r="D180" t="s">
        <v>255</v>
      </c>
      <c r="E180" t="s">
        <v>33</v>
      </c>
      <c r="F180" t="s">
        <v>61</v>
      </c>
      <c r="G180" s="11">
        <v>10889.126340527953</v>
      </c>
    </row>
    <row r="181" spans="1:7" hidden="1">
      <c r="A181" t="str">
        <f t="shared" si="2"/>
        <v>NOVO-07NM-Plus-SÉRIE 6</v>
      </c>
      <c r="B181" t="s">
        <v>29</v>
      </c>
      <c r="C181" t="s">
        <v>53</v>
      </c>
      <c r="E181" t="s">
        <v>10</v>
      </c>
      <c r="F181" t="s">
        <v>61</v>
      </c>
      <c r="G181" s="11">
        <v>23333.842158274183</v>
      </c>
    </row>
    <row r="182" spans="1:7" hidden="1">
      <c r="A182" t="str">
        <f t="shared" si="2"/>
        <v>NOVO-07DA-Standard-SÉRIE 6</v>
      </c>
      <c r="B182" t="s">
        <v>29</v>
      </c>
      <c r="C182" t="s">
        <v>58</v>
      </c>
      <c r="D182" t="s">
        <v>256</v>
      </c>
      <c r="E182" t="s">
        <v>33</v>
      </c>
      <c r="F182" t="s">
        <v>61</v>
      </c>
      <c r="G182" s="11">
        <v>17025.06261177783</v>
      </c>
    </row>
    <row r="183" spans="1:7" hidden="1">
      <c r="A183" t="str">
        <f t="shared" si="2"/>
        <v>NOVO-07DB-Plus-SÉRIE 6</v>
      </c>
      <c r="B183" t="s">
        <v>29</v>
      </c>
      <c r="C183" t="s">
        <v>62</v>
      </c>
      <c r="E183" t="s">
        <v>10</v>
      </c>
      <c r="F183" t="s">
        <v>61</v>
      </c>
      <c r="G183" s="11">
        <v>34741.498324541564</v>
      </c>
    </row>
    <row r="184" spans="1:7" hidden="1">
      <c r="A184" t="str">
        <f t="shared" si="2"/>
        <v>NOVO-07DD-Standard-SÉRIE 6</v>
      </c>
      <c r="B184" t="s">
        <v>29</v>
      </c>
      <c r="C184" t="s">
        <v>67</v>
      </c>
      <c r="D184" t="s">
        <v>257</v>
      </c>
      <c r="E184" t="s">
        <v>33</v>
      </c>
      <c r="F184" t="s">
        <v>61</v>
      </c>
      <c r="G184" s="11">
        <v>11061.969615774429</v>
      </c>
    </row>
    <row r="185" spans="1:7" hidden="1">
      <c r="A185" t="str">
        <f t="shared" si="2"/>
        <v>NOVO-07DE-Plus-SÉRIE 6</v>
      </c>
      <c r="B185" t="s">
        <v>29</v>
      </c>
      <c r="C185" t="s">
        <v>71</v>
      </c>
      <c r="E185" t="s">
        <v>10</v>
      </c>
      <c r="F185" t="s">
        <v>61</v>
      </c>
      <c r="G185" s="11">
        <v>23506.685433520659</v>
      </c>
    </row>
    <row r="186" spans="1:7" hidden="1">
      <c r="A186" t="str">
        <f t="shared" si="2"/>
        <v>NOVO-07NX-Standard-SÉRIE 6</v>
      </c>
      <c r="B186" t="s">
        <v>29</v>
      </c>
      <c r="C186" t="s">
        <v>76</v>
      </c>
      <c r="D186" t="s">
        <v>258</v>
      </c>
      <c r="E186" t="s">
        <v>33</v>
      </c>
      <c r="F186" t="s">
        <v>61</v>
      </c>
      <c r="G186" s="11">
        <v>13308.93219397861</v>
      </c>
    </row>
    <row r="187" spans="1:7" hidden="1">
      <c r="A187" t="str">
        <f t="shared" si="2"/>
        <v>NOVO-07NY-Plus-SÉRIE 6</v>
      </c>
      <c r="B187" t="s">
        <v>29</v>
      </c>
      <c r="C187" t="s">
        <v>80</v>
      </c>
      <c r="E187" t="s">
        <v>10</v>
      </c>
      <c r="F187" t="s">
        <v>61</v>
      </c>
      <c r="G187" s="11">
        <v>28087.032227552259</v>
      </c>
    </row>
    <row r="188" spans="1:7" hidden="1">
      <c r="A188" t="str">
        <f t="shared" si="2"/>
        <v>NOVO-07N1-Standard-SÉRIE 6</v>
      </c>
      <c r="B188" t="s">
        <v>29</v>
      </c>
      <c r="C188" t="s">
        <v>85</v>
      </c>
      <c r="D188" t="s">
        <v>259</v>
      </c>
      <c r="E188" t="s">
        <v>33</v>
      </c>
      <c r="F188" t="s">
        <v>61</v>
      </c>
      <c r="G188" s="11">
        <v>17111.48424940107</v>
      </c>
    </row>
    <row r="189" spans="1:7" hidden="1">
      <c r="A189" t="str">
        <f t="shared" si="2"/>
        <v>NOVO-07N2-Plus-SÉRIE 6</v>
      </c>
      <c r="B189" t="s">
        <v>29</v>
      </c>
      <c r="C189" t="s">
        <v>89</v>
      </c>
      <c r="E189" t="s">
        <v>10</v>
      </c>
      <c r="F189" t="s">
        <v>61</v>
      </c>
      <c r="G189" s="11">
        <v>35087.184875034516</v>
      </c>
    </row>
    <row r="190" spans="1:7" hidden="1">
      <c r="A190" t="str">
        <f t="shared" si="2"/>
        <v>NOVO-07N4-Standard-SÉRIE 6</v>
      </c>
      <c r="B190" t="s">
        <v>29</v>
      </c>
      <c r="C190" t="s">
        <v>94</v>
      </c>
      <c r="D190" t="s">
        <v>260</v>
      </c>
      <c r="E190" t="s">
        <v>33</v>
      </c>
      <c r="F190" t="s">
        <v>61</v>
      </c>
      <c r="G190" s="11">
        <v>22123.939231548859</v>
      </c>
    </row>
    <row r="191" spans="1:7" hidden="1">
      <c r="A191" t="str">
        <f t="shared" si="2"/>
        <v>NOVO-07N5-Plus-SÉRIE 6</v>
      </c>
      <c r="B191" t="s">
        <v>29</v>
      </c>
      <c r="C191" t="s">
        <v>98</v>
      </c>
      <c r="E191" t="s">
        <v>10</v>
      </c>
      <c r="F191" t="s">
        <v>61</v>
      </c>
      <c r="G191" s="11">
        <v>42173.759160140005</v>
      </c>
    </row>
    <row r="192" spans="1:7" hidden="1">
      <c r="A192" t="str">
        <f t="shared" si="2"/>
        <v>NOVO-07NW-Standard-SÉRIE 6</v>
      </c>
      <c r="B192" t="s">
        <v>29</v>
      </c>
      <c r="C192" t="s">
        <v>103</v>
      </c>
      <c r="D192" t="s">
        <v>261</v>
      </c>
      <c r="E192" t="s">
        <v>33</v>
      </c>
      <c r="F192" t="s">
        <v>61</v>
      </c>
      <c r="G192" s="11">
        <v>11839.764354383567</v>
      </c>
    </row>
    <row r="193" spans="1:7" hidden="1">
      <c r="A193" t="str">
        <f t="shared" si="2"/>
        <v>NOVO-07NK-Plus-SÉRIE 6</v>
      </c>
      <c r="B193" t="s">
        <v>29</v>
      </c>
      <c r="C193" t="s">
        <v>107</v>
      </c>
      <c r="E193" t="s">
        <v>10</v>
      </c>
      <c r="F193" t="s">
        <v>61</v>
      </c>
      <c r="G193" s="11">
        <v>24111.636896883323</v>
      </c>
    </row>
    <row r="194" spans="1:7" hidden="1">
      <c r="A194" t="str">
        <f t="shared" ref="A194:A257" si="3">B194&amp;"-"&amp;C194&amp;"-"&amp;E194&amp;"-"&amp;F194</f>
        <v>NOVO-07N7-Standard-SÉRIE 6</v>
      </c>
      <c r="B194" t="s">
        <v>29</v>
      </c>
      <c r="C194" t="s">
        <v>112</v>
      </c>
      <c r="D194" t="s">
        <v>262</v>
      </c>
      <c r="E194" t="s">
        <v>33</v>
      </c>
      <c r="F194" t="s">
        <v>61</v>
      </c>
      <c r="G194" s="11">
        <v>14173.148570210986</v>
      </c>
    </row>
    <row r="195" spans="1:7" hidden="1">
      <c r="A195" t="str">
        <f t="shared" si="3"/>
        <v>NOVO-07N8-Plus-SÉRIE 6</v>
      </c>
      <c r="B195" t="s">
        <v>29</v>
      </c>
      <c r="C195" t="s">
        <v>116</v>
      </c>
      <c r="E195" t="s">
        <v>10</v>
      </c>
      <c r="F195" t="s">
        <v>61</v>
      </c>
      <c r="G195" s="11">
        <v>28951.248603784636</v>
      </c>
    </row>
    <row r="196" spans="1:7" hidden="1">
      <c r="A196" t="str">
        <f t="shared" si="3"/>
        <v>NOVO-07NH-Standard-SÉRIE 6</v>
      </c>
      <c r="B196" t="s">
        <v>29</v>
      </c>
      <c r="C196" t="s">
        <v>121</v>
      </c>
      <c r="D196" t="s">
        <v>263</v>
      </c>
      <c r="E196" t="s">
        <v>33</v>
      </c>
      <c r="F196" t="s">
        <v>61</v>
      </c>
      <c r="G196" s="11">
        <v>17197.905887024306</v>
      </c>
    </row>
    <row r="197" spans="1:7" hidden="1">
      <c r="A197" t="str">
        <f t="shared" si="3"/>
        <v>NOVO-07NA-Plus-SÉRIE 6</v>
      </c>
      <c r="B197" t="s">
        <v>29</v>
      </c>
      <c r="C197" t="s">
        <v>125</v>
      </c>
      <c r="E197" t="s">
        <v>10</v>
      </c>
      <c r="F197" t="s">
        <v>61</v>
      </c>
      <c r="G197" s="11">
        <v>35519.293063150704</v>
      </c>
    </row>
    <row r="198" spans="1:7" hidden="1">
      <c r="A198" t="str">
        <f t="shared" si="3"/>
        <v>NOVO-07UA-Standard-SÉRIE 6</v>
      </c>
      <c r="B198" t="s">
        <v>29</v>
      </c>
      <c r="C198" t="s">
        <v>130</v>
      </c>
      <c r="D198" t="s">
        <v>264</v>
      </c>
      <c r="E198" t="s">
        <v>33</v>
      </c>
      <c r="F198" t="s">
        <v>61</v>
      </c>
      <c r="G198" s="11">
        <v>23247.420520650947</v>
      </c>
    </row>
    <row r="199" spans="1:7" hidden="1">
      <c r="A199" t="str">
        <f t="shared" si="3"/>
        <v>NOVO-07UB-Plus-SÉRIE 6</v>
      </c>
      <c r="B199" t="s">
        <v>29</v>
      </c>
      <c r="C199" t="s">
        <v>133</v>
      </c>
      <c r="E199" t="s">
        <v>10</v>
      </c>
      <c r="F199" t="s">
        <v>61</v>
      </c>
      <c r="G199" s="11">
        <v>43470.083724488577</v>
      </c>
    </row>
    <row r="200" spans="1:7" hidden="1">
      <c r="A200" t="str">
        <f t="shared" si="3"/>
        <v>NOVO-07US-Standard-M5</v>
      </c>
      <c r="B200" t="s">
        <v>29</v>
      </c>
      <c r="C200" t="s">
        <v>34</v>
      </c>
      <c r="D200" t="s">
        <v>254</v>
      </c>
      <c r="E200" t="s">
        <v>33</v>
      </c>
      <c r="F200" t="s">
        <v>110</v>
      </c>
      <c r="G200" s="11">
        <v>13827.462019718036</v>
      </c>
    </row>
    <row r="201" spans="1:7" hidden="1">
      <c r="A201" t="str">
        <f t="shared" si="3"/>
        <v>NOVO-07D7-Plus-M5</v>
      </c>
      <c r="B201" t="s">
        <v>29</v>
      </c>
      <c r="C201" t="s">
        <v>42</v>
      </c>
      <c r="E201" t="s">
        <v>10</v>
      </c>
      <c r="F201" t="s">
        <v>110</v>
      </c>
      <c r="G201" s="11">
        <v>20481.928116707339</v>
      </c>
    </row>
    <row r="202" spans="1:7" hidden="1">
      <c r="A202" t="str">
        <f t="shared" si="3"/>
        <v>NOVO-07NG-Standard-M5</v>
      </c>
      <c r="B202" t="s">
        <v>29</v>
      </c>
      <c r="C202" t="s">
        <v>49</v>
      </c>
      <c r="D202" t="s">
        <v>255</v>
      </c>
      <c r="E202" t="s">
        <v>33</v>
      </c>
      <c r="F202" t="s">
        <v>110</v>
      </c>
      <c r="G202" s="11">
        <v>18753.495364242586</v>
      </c>
    </row>
    <row r="203" spans="1:7" hidden="1">
      <c r="A203" t="str">
        <f t="shared" si="3"/>
        <v>NOVO-07NM-Plus-M5</v>
      </c>
      <c r="B203" t="s">
        <v>29</v>
      </c>
      <c r="C203" t="s">
        <v>53</v>
      </c>
      <c r="E203" t="s">
        <v>10</v>
      </c>
      <c r="F203" t="s">
        <v>110</v>
      </c>
      <c r="G203" s="11">
        <v>44766.408288837141</v>
      </c>
    </row>
    <row r="204" spans="1:7" hidden="1">
      <c r="A204" t="str">
        <f t="shared" si="3"/>
        <v>NOVO-07DA-Standard-M5</v>
      </c>
      <c r="B204" t="s">
        <v>29</v>
      </c>
      <c r="C204" t="s">
        <v>58</v>
      </c>
      <c r="D204" t="s">
        <v>256</v>
      </c>
      <c r="E204" t="s">
        <v>33</v>
      </c>
      <c r="F204" t="s">
        <v>110</v>
      </c>
      <c r="G204" s="11">
        <v>29296.935154277588</v>
      </c>
    </row>
    <row r="205" spans="1:7" hidden="1">
      <c r="A205" t="str">
        <f t="shared" si="3"/>
        <v>NOVO-07DB-Plus-M5</v>
      </c>
      <c r="B205" t="s">
        <v>29</v>
      </c>
      <c r="C205" t="s">
        <v>62</v>
      </c>
      <c r="E205" t="s">
        <v>10</v>
      </c>
      <c r="F205" t="s">
        <v>110</v>
      </c>
      <c r="G205" s="11">
        <v>61532.205987745256</v>
      </c>
    </row>
    <row r="206" spans="1:7" hidden="1">
      <c r="A206" t="str">
        <f t="shared" si="3"/>
        <v>NOVO-07DD-Standard-M5</v>
      </c>
      <c r="B206" t="s">
        <v>29</v>
      </c>
      <c r="C206" t="s">
        <v>67</v>
      </c>
      <c r="D206" t="s">
        <v>257</v>
      </c>
      <c r="E206" t="s">
        <v>33</v>
      </c>
      <c r="F206" t="s">
        <v>110</v>
      </c>
      <c r="G206" s="11">
        <v>18926.338639489062</v>
      </c>
    </row>
    <row r="207" spans="1:7" hidden="1">
      <c r="A207" t="str">
        <f t="shared" si="3"/>
        <v>NOVO-07DE-Plus-M5</v>
      </c>
      <c r="B207" t="s">
        <v>29</v>
      </c>
      <c r="C207" t="s">
        <v>71</v>
      </c>
      <c r="E207" t="s">
        <v>10</v>
      </c>
      <c r="F207" t="s">
        <v>110</v>
      </c>
      <c r="G207" s="11">
        <v>44852.829926460377</v>
      </c>
    </row>
    <row r="208" spans="1:7" hidden="1">
      <c r="A208" t="str">
        <f t="shared" si="3"/>
        <v>NOVO-07NX-Standard-M5</v>
      </c>
      <c r="B208" t="s">
        <v>29</v>
      </c>
      <c r="C208" t="s">
        <v>76</v>
      </c>
      <c r="D208" t="s">
        <v>258</v>
      </c>
      <c r="E208" t="s">
        <v>33</v>
      </c>
      <c r="F208" t="s">
        <v>110</v>
      </c>
      <c r="G208" s="11">
        <v>23074.577245404471</v>
      </c>
    </row>
    <row r="209" spans="1:7" hidden="1">
      <c r="A209" t="str">
        <f t="shared" si="3"/>
        <v>NOVO-07NY-Plus-M5</v>
      </c>
      <c r="B209" t="s">
        <v>29</v>
      </c>
      <c r="C209" t="s">
        <v>80</v>
      </c>
      <c r="E209" t="s">
        <v>10</v>
      </c>
      <c r="F209" t="s">
        <v>110</v>
      </c>
      <c r="G209" s="11">
        <v>53408.572051160911</v>
      </c>
    </row>
    <row r="210" spans="1:7" hidden="1">
      <c r="A210" t="str">
        <f t="shared" si="3"/>
        <v>NOVO-07N1-Standard-M5</v>
      </c>
      <c r="B210" t="s">
        <v>29</v>
      </c>
      <c r="C210" t="s">
        <v>85</v>
      </c>
      <c r="D210" t="s">
        <v>259</v>
      </c>
      <c r="E210" t="s">
        <v>33</v>
      </c>
      <c r="F210" t="s">
        <v>110</v>
      </c>
      <c r="G210" s="11">
        <v>29556.2000671473</v>
      </c>
    </row>
    <row r="211" spans="1:7" hidden="1">
      <c r="A211" t="str">
        <f t="shared" si="3"/>
        <v>NOVO-07N2-Plus-M5</v>
      </c>
      <c r="B211" t="s">
        <v>29</v>
      </c>
      <c r="C211" t="s">
        <v>89</v>
      </c>
      <c r="E211" t="s">
        <v>10</v>
      </c>
      <c r="F211" t="s">
        <v>110</v>
      </c>
      <c r="G211" s="11">
        <v>62655.687276847348</v>
      </c>
    </row>
    <row r="212" spans="1:7" hidden="1">
      <c r="A212" t="str">
        <f t="shared" si="3"/>
        <v>NOVO-07N4-Standard-M5</v>
      </c>
      <c r="B212" t="s">
        <v>29</v>
      </c>
      <c r="C212" t="s">
        <v>94</v>
      </c>
      <c r="D212" t="s">
        <v>260</v>
      </c>
      <c r="E212" t="s">
        <v>33</v>
      </c>
      <c r="F212" t="s">
        <v>110</v>
      </c>
      <c r="G212" s="11">
        <v>35173.606512657752</v>
      </c>
    </row>
    <row r="213" spans="1:7" hidden="1">
      <c r="A213" t="str">
        <f t="shared" si="3"/>
        <v>NOVO-07N5-Plus-M5</v>
      </c>
      <c r="B213" t="s">
        <v>29</v>
      </c>
      <c r="C213" t="s">
        <v>98</v>
      </c>
      <c r="E213" t="s">
        <v>10</v>
      </c>
      <c r="F213" t="s">
        <v>110</v>
      </c>
      <c r="G213" s="11">
        <v>90915.562779646076</v>
      </c>
    </row>
    <row r="214" spans="1:7" hidden="1">
      <c r="A214" t="str">
        <f t="shared" si="3"/>
        <v>NOVO-07NW-Standard-M5</v>
      </c>
      <c r="B214" t="s">
        <v>29</v>
      </c>
      <c r="C214" t="s">
        <v>103</v>
      </c>
      <c r="D214" t="s">
        <v>261</v>
      </c>
      <c r="E214" t="s">
        <v>33</v>
      </c>
      <c r="F214" t="s">
        <v>110</v>
      </c>
      <c r="G214" s="11">
        <v>19876.976653344675</v>
      </c>
    </row>
    <row r="215" spans="1:7" hidden="1">
      <c r="A215" t="str">
        <f t="shared" si="3"/>
        <v>NOVO-07NK-Plus-M5</v>
      </c>
      <c r="B215" t="s">
        <v>29</v>
      </c>
      <c r="C215" t="s">
        <v>107</v>
      </c>
      <c r="E215" t="s">
        <v>10</v>
      </c>
      <c r="F215" t="s">
        <v>110</v>
      </c>
      <c r="G215" s="11">
        <v>45630.624665069518</v>
      </c>
    </row>
    <row r="216" spans="1:7" hidden="1">
      <c r="A216" t="str">
        <f t="shared" si="3"/>
        <v>NOVO-07N7-Standard-M5</v>
      </c>
      <c r="B216" t="s">
        <v>29</v>
      </c>
      <c r="C216" t="s">
        <v>112</v>
      </c>
      <c r="D216" t="s">
        <v>262</v>
      </c>
      <c r="E216" t="s">
        <v>33</v>
      </c>
      <c r="F216" t="s">
        <v>110</v>
      </c>
      <c r="G216" s="11">
        <v>23679.528708767135</v>
      </c>
    </row>
    <row r="217" spans="1:7" hidden="1">
      <c r="A217" t="str">
        <f t="shared" si="3"/>
        <v>NOVO-07N8-Plus-M5</v>
      </c>
      <c r="B217" t="s">
        <v>29</v>
      </c>
      <c r="C217" t="s">
        <v>116</v>
      </c>
      <c r="E217" t="s">
        <v>10</v>
      </c>
      <c r="F217" t="s">
        <v>110</v>
      </c>
      <c r="G217" s="11">
        <v>54186.366789770051</v>
      </c>
    </row>
    <row r="218" spans="1:7" hidden="1">
      <c r="A218" t="str">
        <f t="shared" si="3"/>
        <v>NOVO-07NH-Standard-M5</v>
      </c>
      <c r="B218" t="s">
        <v>29</v>
      </c>
      <c r="C218" t="s">
        <v>121</v>
      </c>
      <c r="D218" t="s">
        <v>263</v>
      </c>
      <c r="E218" t="s">
        <v>33</v>
      </c>
      <c r="F218" t="s">
        <v>110</v>
      </c>
      <c r="G218" s="11">
        <v>29642.62170477054</v>
      </c>
    </row>
    <row r="219" spans="1:7" hidden="1">
      <c r="A219" t="str">
        <f t="shared" si="3"/>
        <v>NOVO-07NA-Plus-M5</v>
      </c>
      <c r="B219" t="s">
        <v>29</v>
      </c>
      <c r="C219" t="s">
        <v>125</v>
      </c>
      <c r="E219" t="s">
        <v>10</v>
      </c>
      <c r="F219" t="s">
        <v>110</v>
      </c>
      <c r="G219" s="11">
        <v>63606.32529070296</v>
      </c>
    </row>
    <row r="220" spans="1:7" hidden="1">
      <c r="A220" t="str">
        <f t="shared" si="3"/>
        <v>NOVO-07UA-Standard-M5</v>
      </c>
      <c r="B220" t="s">
        <v>29</v>
      </c>
      <c r="C220" t="s">
        <v>130</v>
      </c>
      <c r="D220" t="s">
        <v>264</v>
      </c>
      <c r="E220" t="s">
        <v>33</v>
      </c>
      <c r="F220" t="s">
        <v>110</v>
      </c>
      <c r="G220" s="11">
        <v>37852.677278978124</v>
      </c>
    </row>
    <row r="221" spans="1:7" hidden="1">
      <c r="A221" t="str">
        <f t="shared" si="3"/>
        <v>NOVO-07UB-Plus-M5</v>
      </c>
      <c r="B221" t="s">
        <v>29</v>
      </c>
      <c r="C221" t="s">
        <v>133</v>
      </c>
      <c r="E221" t="s">
        <v>10</v>
      </c>
      <c r="F221" t="s">
        <v>110</v>
      </c>
      <c r="G221" s="11">
        <v>95150.223023184735</v>
      </c>
    </row>
    <row r="222" spans="1:7" hidden="1">
      <c r="A222" t="str">
        <f t="shared" si="3"/>
        <v>NOVO-07US-Standard-M6</v>
      </c>
      <c r="B222" t="s">
        <v>29</v>
      </c>
      <c r="C222" t="s">
        <v>34</v>
      </c>
      <c r="D222" t="s">
        <v>254</v>
      </c>
      <c r="E222" t="s">
        <v>33</v>
      </c>
      <c r="F222" t="s">
        <v>115</v>
      </c>
      <c r="G222" s="11">
        <v>13827.462019718036</v>
      </c>
    </row>
    <row r="223" spans="1:7" hidden="1">
      <c r="A223" t="str">
        <f t="shared" si="3"/>
        <v>NOVO-07D7-Plus-M6</v>
      </c>
      <c r="B223" t="s">
        <v>29</v>
      </c>
      <c r="C223" t="s">
        <v>42</v>
      </c>
      <c r="E223" t="s">
        <v>10</v>
      </c>
      <c r="F223" t="s">
        <v>115</v>
      </c>
      <c r="G223" s="11">
        <v>20481.928116707339</v>
      </c>
    </row>
    <row r="224" spans="1:7" hidden="1">
      <c r="A224" t="str">
        <f t="shared" si="3"/>
        <v>NOVO-07NG-Standard-M6</v>
      </c>
      <c r="B224" t="s">
        <v>29</v>
      </c>
      <c r="C224" t="s">
        <v>49</v>
      </c>
      <c r="D224" t="s">
        <v>255</v>
      </c>
      <c r="E224" t="s">
        <v>33</v>
      </c>
      <c r="F224" t="s">
        <v>115</v>
      </c>
      <c r="G224" s="11">
        <v>18753.495364242586</v>
      </c>
    </row>
    <row r="225" spans="1:7" hidden="1">
      <c r="A225" t="str">
        <f t="shared" si="3"/>
        <v>NOVO-07NM-Plus-M6</v>
      </c>
      <c r="B225" t="s">
        <v>29</v>
      </c>
      <c r="C225" t="s">
        <v>53</v>
      </c>
      <c r="E225" t="s">
        <v>10</v>
      </c>
      <c r="F225" t="s">
        <v>115</v>
      </c>
      <c r="G225" s="11">
        <v>44766.408288837141</v>
      </c>
    </row>
    <row r="226" spans="1:7" hidden="1">
      <c r="A226" t="str">
        <f t="shared" si="3"/>
        <v>NOVO-07DA-Standard-M6</v>
      </c>
      <c r="B226" t="s">
        <v>29</v>
      </c>
      <c r="C226" t="s">
        <v>58</v>
      </c>
      <c r="D226" t="s">
        <v>256</v>
      </c>
      <c r="E226" t="s">
        <v>33</v>
      </c>
      <c r="F226" t="s">
        <v>115</v>
      </c>
      <c r="G226" s="11">
        <v>29296.935154277588</v>
      </c>
    </row>
    <row r="227" spans="1:7" hidden="1">
      <c r="A227" t="str">
        <f t="shared" si="3"/>
        <v>NOVO-07DB-Plus-M6</v>
      </c>
      <c r="B227" t="s">
        <v>29</v>
      </c>
      <c r="C227" t="s">
        <v>62</v>
      </c>
      <c r="E227" t="s">
        <v>10</v>
      </c>
      <c r="F227" t="s">
        <v>115</v>
      </c>
      <c r="G227" s="11">
        <v>61532.205987745256</v>
      </c>
    </row>
    <row r="228" spans="1:7" hidden="1">
      <c r="A228" t="str">
        <f t="shared" si="3"/>
        <v>NOVO-07DD-Standard-M6</v>
      </c>
      <c r="B228" t="s">
        <v>29</v>
      </c>
      <c r="C228" t="s">
        <v>67</v>
      </c>
      <c r="D228" t="s">
        <v>257</v>
      </c>
      <c r="E228" t="s">
        <v>33</v>
      </c>
      <c r="F228" t="s">
        <v>115</v>
      </c>
      <c r="G228" s="11">
        <v>18926.338639489062</v>
      </c>
    </row>
    <row r="229" spans="1:7" hidden="1">
      <c r="A229" t="str">
        <f t="shared" si="3"/>
        <v>NOVO-07DE-Plus-M6</v>
      </c>
      <c r="B229" t="s">
        <v>29</v>
      </c>
      <c r="C229" t="s">
        <v>71</v>
      </c>
      <c r="E229" t="s">
        <v>10</v>
      </c>
      <c r="F229" t="s">
        <v>115</v>
      </c>
      <c r="G229" s="11">
        <v>44852.829926460377</v>
      </c>
    </row>
    <row r="230" spans="1:7" hidden="1">
      <c r="A230" t="str">
        <f t="shared" si="3"/>
        <v>NOVO-07NX-Standard-M6</v>
      </c>
      <c r="B230" t="s">
        <v>29</v>
      </c>
      <c r="C230" t="s">
        <v>76</v>
      </c>
      <c r="D230" t="s">
        <v>258</v>
      </c>
      <c r="E230" t="s">
        <v>33</v>
      </c>
      <c r="F230" t="s">
        <v>115</v>
      </c>
      <c r="G230" s="11">
        <v>23074.577245404471</v>
      </c>
    </row>
    <row r="231" spans="1:7" hidden="1">
      <c r="A231" t="str">
        <f t="shared" si="3"/>
        <v>NOVO-07NY-Plus-M6</v>
      </c>
      <c r="B231" t="s">
        <v>29</v>
      </c>
      <c r="C231" t="s">
        <v>80</v>
      </c>
      <c r="E231" t="s">
        <v>10</v>
      </c>
      <c r="F231" t="s">
        <v>115</v>
      </c>
      <c r="G231" s="11">
        <v>53408.572051160911</v>
      </c>
    </row>
    <row r="232" spans="1:7" hidden="1">
      <c r="A232" t="str">
        <f t="shared" si="3"/>
        <v>NOVO-07N1-Standard-M6</v>
      </c>
      <c r="B232" t="s">
        <v>29</v>
      </c>
      <c r="C232" t="s">
        <v>85</v>
      </c>
      <c r="D232" t="s">
        <v>259</v>
      </c>
      <c r="E232" t="s">
        <v>33</v>
      </c>
      <c r="F232" t="s">
        <v>115</v>
      </c>
      <c r="G232" s="11">
        <v>29556.2000671473</v>
      </c>
    </row>
    <row r="233" spans="1:7" hidden="1">
      <c r="A233" t="str">
        <f t="shared" si="3"/>
        <v>NOVO-07N2-Plus-M6</v>
      </c>
      <c r="B233" t="s">
        <v>29</v>
      </c>
      <c r="C233" t="s">
        <v>89</v>
      </c>
      <c r="E233" t="s">
        <v>10</v>
      </c>
      <c r="F233" t="s">
        <v>115</v>
      </c>
      <c r="G233" s="11">
        <v>62655.687276847348</v>
      </c>
    </row>
    <row r="234" spans="1:7" hidden="1">
      <c r="A234" t="str">
        <f t="shared" si="3"/>
        <v>NOVO-07N4-Standard-M6</v>
      </c>
      <c r="B234" t="s">
        <v>29</v>
      </c>
      <c r="C234" t="s">
        <v>94</v>
      </c>
      <c r="D234" t="s">
        <v>260</v>
      </c>
      <c r="E234" t="s">
        <v>33</v>
      </c>
      <c r="F234" t="s">
        <v>115</v>
      </c>
      <c r="G234" s="11">
        <v>35173.606512657752</v>
      </c>
    </row>
    <row r="235" spans="1:7" hidden="1">
      <c r="A235" t="str">
        <f t="shared" si="3"/>
        <v>NOVO-07N5-Plus-M6</v>
      </c>
      <c r="B235" t="s">
        <v>29</v>
      </c>
      <c r="C235" t="s">
        <v>98</v>
      </c>
      <c r="E235" t="s">
        <v>10</v>
      </c>
      <c r="F235" t="s">
        <v>115</v>
      </c>
      <c r="G235" s="11">
        <v>90915.562779646076</v>
      </c>
    </row>
    <row r="236" spans="1:7" hidden="1">
      <c r="A236" t="str">
        <f t="shared" si="3"/>
        <v>NOVO-07NW-Standard-M6</v>
      </c>
      <c r="B236" t="s">
        <v>29</v>
      </c>
      <c r="C236" t="s">
        <v>103</v>
      </c>
      <c r="D236" t="s">
        <v>261</v>
      </c>
      <c r="E236" t="s">
        <v>33</v>
      </c>
      <c r="F236" t="s">
        <v>115</v>
      </c>
      <c r="G236" s="11">
        <v>19876.976653344675</v>
      </c>
    </row>
    <row r="237" spans="1:7" hidden="1">
      <c r="A237" t="str">
        <f t="shared" si="3"/>
        <v>NOVO-07NK-Plus-M6</v>
      </c>
      <c r="B237" t="s">
        <v>29</v>
      </c>
      <c r="C237" t="s">
        <v>107</v>
      </c>
      <c r="E237" t="s">
        <v>10</v>
      </c>
      <c r="F237" t="s">
        <v>115</v>
      </c>
      <c r="G237" s="11">
        <v>45630.624665069518</v>
      </c>
    </row>
    <row r="238" spans="1:7" hidden="1">
      <c r="A238" t="str">
        <f t="shared" si="3"/>
        <v>NOVO-07N7-Standard-M6</v>
      </c>
      <c r="B238" t="s">
        <v>29</v>
      </c>
      <c r="C238" t="s">
        <v>112</v>
      </c>
      <c r="D238" t="s">
        <v>262</v>
      </c>
      <c r="E238" t="s">
        <v>33</v>
      </c>
      <c r="F238" t="s">
        <v>115</v>
      </c>
      <c r="G238" s="11">
        <v>23679.528708767135</v>
      </c>
    </row>
    <row r="239" spans="1:7" hidden="1">
      <c r="A239" t="str">
        <f t="shared" si="3"/>
        <v>NOVO-07N8-Plus-M6</v>
      </c>
      <c r="B239" t="s">
        <v>29</v>
      </c>
      <c r="C239" t="s">
        <v>116</v>
      </c>
      <c r="E239" t="s">
        <v>10</v>
      </c>
      <c r="F239" t="s">
        <v>115</v>
      </c>
      <c r="G239" s="11">
        <v>54186.366789770051</v>
      </c>
    </row>
    <row r="240" spans="1:7" hidden="1">
      <c r="A240" t="str">
        <f t="shared" si="3"/>
        <v>NOVO-07NH-Standard-M6</v>
      </c>
      <c r="B240" t="s">
        <v>29</v>
      </c>
      <c r="C240" t="s">
        <v>121</v>
      </c>
      <c r="D240" t="s">
        <v>263</v>
      </c>
      <c r="E240" t="s">
        <v>33</v>
      </c>
      <c r="F240" t="s">
        <v>115</v>
      </c>
      <c r="G240" s="11">
        <v>29642.62170477054</v>
      </c>
    </row>
    <row r="241" spans="1:7" hidden="1">
      <c r="A241" t="str">
        <f t="shared" si="3"/>
        <v>NOVO-07NA-Plus-M6</v>
      </c>
      <c r="B241" t="s">
        <v>29</v>
      </c>
      <c r="C241" t="s">
        <v>125</v>
      </c>
      <c r="E241" t="s">
        <v>10</v>
      </c>
      <c r="F241" t="s">
        <v>115</v>
      </c>
      <c r="G241" s="11">
        <v>63606.32529070296</v>
      </c>
    </row>
    <row r="242" spans="1:7" hidden="1">
      <c r="A242" t="str">
        <f t="shared" si="3"/>
        <v>NOVO-07UA-Standard-M6</v>
      </c>
      <c r="B242" t="s">
        <v>29</v>
      </c>
      <c r="C242" t="s">
        <v>130</v>
      </c>
      <c r="D242" t="s">
        <v>264</v>
      </c>
      <c r="E242" t="s">
        <v>33</v>
      </c>
      <c r="F242" t="s">
        <v>115</v>
      </c>
      <c r="G242" s="11">
        <v>37852.677278978124</v>
      </c>
    </row>
    <row r="243" spans="1:7" hidden="1">
      <c r="A243" t="str">
        <f t="shared" si="3"/>
        <v>NOVO-07UB-Plus-M6</v>
      </c>
      <c r="B243" t="s">
        <v>29</v>
      </c>
      <c r="C243" t="s">
        <v>133</v>
      </c>
      <c r="E243" t="s">
        <v>10</v>
      </c>
      <c r="F243" t="s">
        <v>115</v>
      </c>
      <c r="G243" s="11">
        <v>95150.223023184735</v>
      </c>
    </row>
    <row r="244" spans="1:7" hidden="1">
      <c r="A244" t="str">
        <f t="shared" si="3"/>
        <v>NOVO-07US-Standard-SÉRIE 7</v>
      </c>
      <c r="B244" t="s">
        <v>29</v>
      </c>
      <c r="C244" t="s">
        <v>34</v>
      </c>
      <c r="D244" t="s">
        <v>254</v>
      </c>
      <c r="E244" t="s">
        <v>33</v>
      </c>
      <c r="F244" t="s">
        <v>65</v>
      </c>
      <c r="G244" s="11">
        <v>6827.3093722357798</v>
      </c>
    </row>
    <row r="245" spans="1:7" hidden="1">
      <c r="A245" t="str">
        <f t="shared" si="3"/>
        <v>NOVO-07D7-Plus-SÉRIE 7</v>
      </c>
      <c r="B245" t="s">
        <v>29</v>
      </c>
      <c r="C245" t="s">
        <v>42</v>
      </c>
      <c r="E245" t="s">
        <v>10</v>
      </c>
      <c r="F245" t="s">
        <v>65</v>
      </c>
      <c r="G245" s="11">
        <v>12271.872542499756</v>
      </c>
    </row>
    <row r="246" spans="1:7" hidden="1">
      <c r="A246" t="str">
        <f t="shared" si="3"/>
        <v>NOVO-07NG-Standard-SÉRIE 7</v>
      </c>
      <c r="B246" t="s">
        <v>29</v>
      </c>
      <c r="C246" t="s">
        <v>49</v>
      </c>
      <c r="D246" t="s">
        <v>255</v>
      </c>
      <c r="E246" t="s">
        <v>33</v>
      </c>
      <c r="F246" t="s">
        <v>65</v>
      </c>
      <c r="G246" s="11">
        <v>12531.13745536947</v>
      </c>
    </row>
    <row r="247" spans="1:7" hidden="1">
      <c r="A247" t="str">
        <f t="shared" si="3"/>
        <v>NOVO-07NM-Plus-SÉRIE 7</v>
      </c>
      <c r="B247" t="s">
        <v>29</v>
      </c>
      <c r="C247" t="s">
        <v>53</v>
      </c>
      <c r="E247" t="s">
        <v>10</v>
      </c>
      <c r="F247" t="s">
        <v>65</v>
      </c>
      <c r="G247" s="11">
        <v>27654.924039436071</v>
      </c>
    </row>
    <row r="248" spans="1:7" hidden="1">
      <c r="A248" t="str">
        <f t="shared" si="3"/>
        <v>NOVO-07DA-Standard-SÉRIE 7</v>
      </c>
      <c r="B248" t="s">
        <v>29</v>
      </c>
      <c r="C248" t="s">
        <v>58</v>
      </c>
      <c r="D248" t="s">
        <v>256</v>
      </c>
      <c r="E248" t="s">
        <v>33</v>
      </c>
      <c r="F248" t="s">
        <v>65</v>
      </c>
      <c r="G248" s="11">
        <v>19531.290102851726</v>
      </c>
    </row>
    <row r="249" spans="1:7" hidden="1">
      <c r="A249" t="str">
        <f t="shared" si="3"/>
        <v>NOVO-07DB-Plus-SÉRIE 7</v>
      </c>
      <c r="B249" t="s">
        <v>29</v>
      </c>
      <c r="C249" t="s">
        <v>62</v>
      </c>
      <c r="E249" t="s">
        <v>10</v>
      </c>
      <c r="F249" t="s">
        <v>65</v>
      </c>
      <c r="G249" s="11">
        <v>41223.121146284393</v>
      </c>
    </row>
    <row r="250" spans="1:7" hidden="1">
      <c r="A250" t="str">
        <f t="shared" si="3"/>
        <v>NOVO-07DD-Standard-SÉRIE 7</v>
      </c>
      <c r="B250" t="s">
        <v>29</v>
      </c>
      <c r="C250" t="s">
        <v>67</v>
      </c>
      <c r="D250" t="s">
        <v>257</v>
      </c>
      <c r="E250" t="s">
        <v>33</v>
      </c>
      <c r="F250" t="s">
        <v>65</v>
      </c>
      <c r="G250" s="11">
        <v>12617.559092992708</v>
      </c>
    </row>
    <row r="251" spans="1:7" hidden="1">
      <c r="A251" t="str">
        <f t="shared" si="3"/>
        <v>NOVO-07DE-Plus-SÉRIE 7</v>
      </c>
      <c r="B251" t="s">
        <v>29</v>
      </c>
      <c r="C251" t="s">
        <v>71</v>
      </c>
      <c r="E251" t="s">
        <v>10</v>
      </c>
      <c r="F251" t="s">
        <v>65</v>
      </c>
      <c r="G251" s="11">
        <v>27827.767314682547</v>
      </c>
    </row>
    <row r="252" spans="1:7" hidden="1">
      <c r="A252" t="str">
        <f t="shared" si="3"/>
        <v>NOVO-07NX-Standard-SÉRIE 7</v>
      </c>
      <c r="B252" t="s">
        <v>29</v>
      </c>
      <c r="C252" t="s">
        <v>76</v>
      </c>
      <c r="D252" t="s">
        <v>258</v>
      </c>
      <c r="E252" t="s">
        <v>33</v>
      </c>
      <c r="F252" t="s">
        <v>65</v>
      </c>
      <c r="G252" s="11">
        <v>15469.473134559552</v>
      </c>
    </row>
    <row r="253" spans="1:7" hidden="1">
      <c r="A253" t="str">
        <f t="shared" si="3"/>
        <v>NOVO-07NY-Plus-SÉRIE 7</v>
      </c>
      <c r="B253" t="s">
        <v>29</v>
      </c>
      <c r="C253" t="s">
        <v>80</v>
      </c>
      <c r="E253" t="s">
        <v>10</v>
      </c>
      <c r="F253" t="s">
        <v>65</v>
      </c>
      <c r="G253" s="11">
        <v>33358.752122569764</v>
      </c>
    </row>
    <row r="254" spans="1:7" hidden="1">
      <c r="A254" t="str">
        <f t="shared" si="3"/>
        <v>NOVO-07N1-Standard-SÉRIE 7</v>
      </c>
      <c r="B254" t="s">
        <v>29</v>
      </c>
      <c r="C254" t="s">
        <v>85</v>
      </c>
      <c r="D254" t="s">
        <v>259</v>
      </c>
      <c r="E254" t="s">
        <v>33</v>
      </c>
      <c r="F254" t="s">
        <v>65</v>
      </c>
      <c r="G254" s="11">
        <v>19617.711740474962</v>
      </c>
    </row>
    <row r="255" spans="1:7" hidden="1">
      <c r="A255" t="str">
        <f t="shared" si="3"/>
        <v>NOVO-07N2-Plus-SÉRIE 7</v>
      </c>
      <c r="B255" t="s">
        <v>29</v>
      </c>
      <c r="C255" t="s">
        <v>89</v>
      </c>
      <c r="E255" t="s">
        <v>10</v>
      </c>
      <c r="F255" t="s">
        <v>65</v>
      </c>
      <c r="G255" s="11">
        <v>41741.650972023817</v>
      </c>
    </row>
    <row r="256" spans="1:7" hidden="1">
      <c r="A256" t="str">
        <f t="shared" si="3"/>
        <v>NOVO-07N4-Standard-SÉRIE 7</v>
      </c>
      <c r="B256" t="s">
        <v>29</v>
      </c>
      <c r="C256" t="s">
        <v>94</v>
      </c>
      <c r="D256" t="s">
        <v>260</v>
      </c>
      <c r="E256" t="s">
        <v>33</v>
      </c>
      <c r="F256" t="s">
        <v>65</v>
      </c>
      <c r="G256" s="11">
        <v>25580.804736478367</v>
      </c>
    </row>
    <row r="257" spans="1:7" hidden="1">
      <c r="A257" t="str">
        <f t="shared" si="3"/>
        <v>NOVO-07N5-Plus-SÉRIE 7</v>
      </c>
      <c r="B257" t="s">
        <v>29</v>
      </c>
      <c r="C257" t="s">
        <v>98</v>
      </c>
      <c r="E257" t="s">
        <v>10</v>
      </c>
      <c r="F257" t="s">
        <v>65</v>
      </c>
      <c r="G257" s="11">
        <v>49001.068532375786</v>
      </c>
    </row>
    <row r="258" spans="1:7" hidden="1">
      <c r="A258" t="str">
        <f t="shared" ref="A258:A321" si="4">B258&amp;"-"&amp;C258&amp;"-"&amp;E258&amp;"-"&amp;F258</f>
        <v>NOVO-07NW-Standard-SÉRIE 7</v>
      </c>
      <c r="B258" t="s">
        <v>29</v>
      </c>
      <c r="C258" t="s">
        <v>103</v>
      </c>
      <c r="D258" t="s">
        <v>261</v>
      </c>
      <c r="E258" t="s">
        <v>33</v>
      </c>
      <c r="F258" t="s">
        <v>65</v>
      </c>
      <c r="G258" s="11">
        <v>13136.088918732134</v>
      </c>
    </row>
    <row r="259" spans="1:7" hidden="1">
      <c r="A259" t="str">
        <f t="shared" si="4"/>
        <v>NOVO-07NK-Plus-SÉRIE 7</v>
      </c>
      <c r="B259" t="s">
        <v>29</v>
      </c>
      <c r="C259" t="s">
        <v>107</v>
      </c>
      <c r="E259" t="s">
        <v>10</v>
      </c>
      <c r="F259" t="s">
        <v>65</v>
      </c>
      <c r="G259" s="11">
        <v>28432.718778045211</v>
      </c>
    </row>
    <row r="260" spans="1:7" hidden="1">
      <c r="A260" t="str">
        <f t="shared" si="4"/>
        <v>NOVO-07N7-Standard-SÉRIE 7</v>
      </c>
      <c r="B260" t="s">
        <v>29</v>
      </c>
      <c r="C260" t="s">
        <v>112</v>
      </c>
      <c r="D260" t="s">
        <v>262</v>
      </c>
      <c r="E260" t="s">
        <v>33</v>
      </c>
      <c r="F260" t="s">
        <v>65</v>
      </c>
      <c r="G260" s="11">
        <v>15901.58132267574</v>
      </c>
    </row>
    <row r="261" spans="1:7" hidden="1">
      <c r="A261" t="str">
        <f t="shared" si="4"/>
        <v>NOVO-07N8-Plus-SÉRIE 7</v>
      </c>
      <c r="B261" t="s">
        <v>29</v>
      </c>
      <c r="C261" t="s">
        <v>116</v>
      </c>
      <c r="E261" t="s">
        <v>10</v>
      </c>
      <c r="F261" t="s">
        <v>65</v>
      </c>
      <c r="G261" s="11">
        <v>34222.96849880214</v>
      </c>
    </row>
    <row r="262" spans="1:7" hidden="1">
      <c r="A262" t="str">
        <f t="shared" si="4"/>
        <v>NOVO-07NH-Standard-SÉRIE 7</v>
      </c>
      <c r="B262" t="s">
        <v>29</v>
      </c>
      <c r="C262" t="s">
        <v>121</v>
      </c>
      <c r="D262" t="s">
        <v>263</v>
      </c>
      <c r="E262" t="s">
        <v>33</v>
      </c>
      <c r="F262" t="s">
        <v>65</v>
      </c>
      <c r="G262" s="11">
        <v>19704.133378098202</v>
      </c>
    </row>
    <row r="263" spans="1:7" hidden="1">
      <c r="A263" t="str">
        <f t="shared" si="4"/>
        <v>NOVO-07NA-Plus-SÉRIE 7</v>
      </c>
      <c r="B263" t="s">
        <v>29</v>
      </c>
      <c r="C263" t="s">
        <v>125</v>
      </c>
      <c r="E263" t="s">
        <v>10</v>
      </c>
      <c r="F263" t="s">
        <v>65</v>
      </c>
      <c r="G263" s="11">
        <v>41828.072609647061</v>
      </c>
    </row>
    <row r="264" spans="1:7" hidden="1">
      <c r="A264" t="str">
        <f t="shared" si="4"/>
        <v>NOVO-07UA-Standard-SÉRIE 7</v>
      </c>
      <c r="B264" t="s">
        <v>29</v>
      </c>
      <c r="C264" t="s">
        <v>130</v>
      </c>
      <c r="D264" t="s">
        <v>264</v>
      </c>
      <c r="E264" t="s">
        <v>33</v>
      </c>
      <c r="F264" t="s">
        <v>65</v>
      </c>
      <c r="G264" s="11">
        <v>26445.021112710743</v>
      </c>
    </row>
    <row r="265" spans="1:7" hidden="1">
      <c r="A265" t="str">
        <f t="shared" si="4"/>
        <v>NOVO-07UB-Plus-SÉRIE 7</v>
      </c>
      <c r="B265" t="s">
        <v>29</v>
      </c>
      <c r="C265" t="s">
        <v>133</v>
      </c>
      <c r="E265" t="s">
        <v>10</v>
      </c>
      <c r="F265" t="s">
        <v>65</v>
      </c>
      <c r="G265" s="11">
        <v>50556.658009594066</v>
      </c>
    </row>
    <row r="266" spans="1:7" hidden="1">
      <c r="A266" t="str">
        <f t="shared" si="4"/>
        <v>NOVO-07US-Standard-SÉRIE 8</v>
      </c>
      <c r="B266" t="s">
        <v>29</v>
      </c>
      <c r="C266" t="s">
        <v>34</v>
      </c>
      <c r="D266" t="s">
        <v>254</v>
      </c>
      <c r="E266" t="s">
        <v>33</v>
      </c>
      <c r="F266" t="s">
        <v>70</v>
      </c>
      <c r="G266" s="11">
        <v>6913.7310098590178</v>
      </c>
    </row>
    <row r="267" spans="1:7" hidden="1">
      <c r="A267" t="str">
        <f t="shared" si="4"/>
        <v>NOVO-07D7-Plus-SÉRIE 8</v>
      </c>
      <c r="B267" t="s">
        <v>29</v>
      </c>
      <c r="C267" t="s">
        <v>42</v>
      </c>
      <c r="E267" t="s">
        <v>10</v>
      </c>
      <c r="F267" t="s">
        <v>70</v>
      </c>
      <c r="G267" s="11">
        <v>14691.678395950412</v>
      </c>
    </row>
    <row r="268" spans="1:7" hidden="1">
      <c r="A268" t="str">
        <f t="shared" si="4"/>
        <v>NOVO-07NG-Standard-SÉRIE 8</v>
      </c>
      <c r="B268" t="s">
        <v>29</v>
      </c>
      <c r="C268" t="s">
        <v>49</v>
      </c>
      <c r="D268" t="s">
        <v>255</v>
      </c>
      <c r="E268" t="s">
        <v>33</v>
      </c>
      <c r="F268" t="s">
        <v>70</v>
      </c>
      <c r="G268" s="11">
        <v>12617.559092992708</v>
      </c>
    </row>
    <row r="269" spans="1:7" hidden="1">
      <c r="A269" t="str">
        <f t="shared" si="4"/>
        <v>NOVO-07NM-Plus-SÉRIE 8</v>
      </c>
      <c r="B269" t="s">
        <v>29</v>
      </c>
      <c r="C269" t="s">
        <v>53</v>
      </c>
      <c r="E269" t="s">
        <v>10</v>
      </c>
      <c r="F269" t="s">
        <v>70</v>
      </c>
      <c r="G269" s="11">
        <v>28087.032227552259</v>
      </c>
    </row>
    <row r="270" spans="1:7" hidden="1">
      <c r="A270" t="str">
        <f t="shared" si="4"/>
        <v>NOVO-07DA-Standard-SÉRIE 8</v>
      </c>
      <c r="B270" t="s">
        <v>29</v>
      </c>
      <c r="C270" t="s">
        <v>58</v>
      </c>
      <c r="D270" t="s">
        <v>256</v>
      </c>
      <c r="E270" t="s">
        <v>33</v>
      </c>
      <c r="F270" t="s">
        <v>70</v>
      </c>
      <c r="G270" s="11">
        <v>19963.398290967914</v>
      </c>
    </row>
    <row r="271" spans="1:7" hidden="1">
      <c r="A271" t="str">
        <f t="shared" si="4"/>
        <v>NOVO-07DB-Plus-SÉRIE 8</v>
      </c>
      <c r="B271" t="s">
        <v>29</v>
      </c>
      <c r="C271" t="s">
        <v>62</v>
      </c>
      <c r="E271" t="s">
        <v>10</v>
      </c>
      <c r="F271" t="s">
        <v>70</v>
      </c>
      <c r="G271" s="11">
        <v>41655.229334400581</v>
      </c>
    </row>
    <row r="272" spans="1:7" hidden="1">
      <c r="A272" t="str">
        <f t="shared" si="4"/>
        <v>NOVO-07DD-Standard-SÉRIE 8</v>
      </c>
      <c r="B272" t="s">
        <v>29</v>
      </c>
      <c r="C272" t="s">
        <v>67</v>
      </c>
      <c r="D272" t="s">
        <v>257</v>
      </c>
      <c r="E272" t="s">
        <v>33</v>
      </c>
      <c r="F272" t="s">
        <v>70</v>
      </c>
      <c r="G272" s="11">
        <v>12790.402368239183</v>
      </c>
    </row>
    <row r="273" spans="1:7" hidden="1">
      <c r="A273" t="str">
        <f t="shared" si="4"/>
        <v>NOVO-07DE-Plus-SÉRIE 8</v>
      </c>
      <c r="B273" t="s">
        <v>29</v>
      </c>
      <c r="C273" t="s">
        <v>71</v>
      </c>
      <c r="E273" t="s">
        <v>10</v>
      </c>
      <c r="F273" t="s">
        <v>70</v>
      </c>
      <c r="G273" s="11">
        <v>28173.453865175496</v>
      </c>
    </row>
    <row r="274" spans="1:7" hidden="1">
      <c r="A274" t="str">
        <f t="shared" si="4"/>
        <v>NOVO-07NX-Standard-SÉRIE 8</v>
      </c>
      <c r="B274" t="s">
        <v>29</v>
      </c>
      <c r="C274" t="s">
        <v>76</v>
      </c>
      <c r="D274" t="s">
        <v>258</v>
      </c>
      <c r="E274" t="s">
        <v>33</v>
      </c>
      <c r="F274" t="s">
        <v>70</v>
      </c>
      <c r="G274" s="11">
        <v>15555.89477218279</v>
      </c>
    </row>
    <row r="275" spans="1:7" hidden="1">
      <c r="A275" t="str">
        <f t="shared" si="4"/>
        <v>NOVO-07NY-Plus-SÉRIE 8</v>
      </c>
      <c r="B275" t="s">
        <v>29</v>
      </c>
      <c r="C275" t="s">
        <v>80</v>
      </c>
      <c r="E275" t="s">
        <v>10</v>
      </c>
      <c r="F275" t="s">
        <v>70</v>
      </c>
      <c r="G275" s="11">
        <v>33877.281948309188</v>
      </c>
    </row>
    <row r="276" spans="1:7" hidden="1">
      <c r="A276" t="str">
        <f t="shared" si="4"/>
        <v>NOVO-07N1-Standard-SÉRIE 8</v>
      </c>
      <c r="B276" t="s">
        <v>29</v>
      </c>
      <c r="C276" t="s">
        <v>85</v>
      </c>
      <c r="D276" t="s">
        <v>259</v>
      </c>
      <c r="E276" t="s">
        <v>33</v>
      </c>
      <c r="F276" t="s">
        <v>70</v>
      </c>
      <c r="G276" s="11">
        <v>20136.24156621439</v>
      </c>
    </row>
    <row r="277" spans="1:7" hidden="1">
      <c r="A277" t="str">
        <f t="shared" si="4"/>
        <v>NOVO-07N2-Plus-SÉRIE 8</v>
      </c>
      <c r="B277" t="s">
        <v>29</v>
      </c>
      <c r="C277" t="s">
        <v>89</v>
      </c>
      <c r="E277" t="s">
        <v>10</v>
      </c>
      <c r="F277" t="s">
        <v>70</v>
      </c>
      <c r="G277" s="11">
        <v>42346.602435386485</v>
      </c>
    </row>
    <row r="278" spans="1:7" hidden="1">
      <c r="A278" t="str">
        <f t="shared" si="4"/>
        <v>NOVO-07N4-Standard-SÉRIE 8</v>
      </c>
      <c r="B278" t="s">
        <v>29</v>
      </c>
      <c r="C278" t="s">
        <v>94</v>
      </c>
      <c r="D278" t="s">
        <v>260</v>
      </c>
      <c r="E278" t="s">
        <v>33</v>
      </c>
      <c r="F278" t="s">
        <v>70</v>
      </c>
      <c r="G278" s="11">
        <v>25753.648011724839</v>
      </c>
    </row>
    <row r="279" spans="1:7" hidden="1">
      <c r="A279" t="str">
        <f t="shared" si="4"/>
        <v>NOVO-07N5-Plus-SÉRIE 8</v>
      </c>
      <c r="B279" t="s">
        <v>29</v>
      </c>
      <c r="C279" t="s">
        <v>98</v>
      </c>
      <c r="E279" t="s">
        <v>10</v>
      </c>
      <c r="F279" t="s">
        <v>70</v>
      </c>
      <c r="G279" s="11">
        <v>49865.284908608162</v>
      </c>
    </row>
    <row r="280" spans="1:7" hidden="1">
      <c r="A280" t="str">
        <f t="shared" si="4"/>
        <v>NOVO-07NW-Standard-SÉRIE 8</v>
      </c>
      <c r="B280" t="s">
        <v>29</v>
      </c>
      <c r="C280" t="s">
        <v>103</v>
      </c>
      <c r="D280" t="s">
        <v>261</v>
      </c>
      <c r="E280" t="s">
        <v>33</v>
      </c>
      <c r="F280" t="s">
        <v>70</v>
      </c>
      <c r="G280" s="11">
        <v>13308.93219397861</v>
      </c>
    </row>
    <row r="281" spans="1:7" hidden="1">
      <c r="A281" t="str">
        <f t="shared" si="4"/>
        <v>NOVO-07NK-Plus-SÉRIE 8</v>
      </c>
      <c r="B281" t="s">
        <v>29</v>
      </c>
      <c r="C281" t="s">
        <v>107</v>
      </c>
      <c r="E281" t="s">
        <v>10</v>
      </c>
      <c r="F281" t="s">
        <v>70</v>
      </c>
      <c r="G281" s="11">
        <v>28778.40532853816</v>
      </c>
    </row>
    <row r="282" spans="1:7" hidden="1">
      <c r="A282" t="str">
        <f t="shared" si="4"/>
        <v>NOVO-07N7-Standard-SÉRIE 8</v>
      </c>
      <c r="B282" t="s">
        <v>29</v>
      </c>
      <c r="C282" t="s">
        <v>112</v>
      </c>
      <c r="D282" t="s">
        <v>262</v>
      </c>
      <c r="E282" t="s">
        <v>33</v>
      </c>
      <c r="F282" t="s">
        <v>70</v>
      </c>
      <c r="G282" s="11">
        <v>15988.002960298978</v>
      </c>
    </row>
    <row r="283" spans="1:7" hidden="1">
      <c r="A283" t="str">
        <f t="shared" si="4"/>
        <v>NOVO-07N8-Plus-SÉRIE 8</v>
      </c>
      <c r="B283" t="s">
        <v>29</v>
      </c>
      <c r="C283" t="s">
        <v>116</v>
      </c>
      <c r="E283" t="s">
        <v>10</v>
      </c>
      <c r="F283" t="s">
        <v>70</v>
      </c>
      <c r="G283" s="11">
        <v>34655.076686918328</v>
      </c>
    </row>
    <row r="284" spans="1:7" hidden="1">
      <c r="A284" t="str">
        <f t="shared" si="4"/>
        <v>NOVO-07NH-Standard-SÉRIE 8</v>
      </c>
      <c r="B284" t="s">
        <v>29</v>
      </c>
      <c r="C284" t="s">
        <v>121</v>
      </c>
      <c r="D284" t="s">
        <v>263</v>
      </c>
      <c r="E284" t="s">
        <v>33</v>
      </c>
      <c r="F284" t="s">
        <v>70</v>
      </c>
      <c r="G284" s="11">
        <v>20309.084841460866</v>
      </c>
    </row>
    <row r="285" spans="1:7" hidden="1">
      <c r="A285" t="str">
        <f t="shared" si="4"/>
        <v>NOVO-07NA-Plus-SÉRIE 8</v>
      </c>
      <c r="B285" t="s">
        <v>29</v>
      </c>
      <c r="C285" t="s">
        <v>125</v>
      </c>
      <c r="E285" t="s">
        <v>10</v>
      </c>
      <c r="F285" t="s">
        <v>70</v>
      </c>
      <c r="G285" s="11">
        <v>42433.024073009721</v>
      </c>
    </row>
    <row r="286" spans="1:7" hidden="1">
      <c r="A286" t="str">
        <f t="shared" si="4"/>
        <v>NOVO-07UA-Standard-SÉRIE 8</v>
      </c>
      <c r="B286" t="s">
        <v>29</v>
      </c>
      <c r="C286" t="s">
        <v>130</v>
      </c>
      <c r="D286" t="s">
        <v>264</v>
      </c>
      <c r="E286" t="s">
        <v>33</v>
      </c>
      <c r="F286" t="s">
        <v>70</v>
      </c>
      <c r="G286" s="11">
        <v>26531.442750333979</v>
      </c>
    </row>
    <row r="287" spans="1:7" hidden="1">
      <c r="A287" t="str">
        <f t="shared" si="4"/>
        <v>NOVO-07UB-Plus-SÉRIE 8</v>
      </c>
      <c r="B287" t="s">
        <v>29</v>
      </c>
      <c r="C287" t="s">
        <v>133</v>
      </c>
      <c r="E287" t="s">
        <v>10</v>
      </c>
      <c r="F287" t="s">
        <v>70</v>
      </c>
      <c r="G287" s="11">
        <v>51075.187835333491</v>
      </c>
    </row>
    <row r="288" spans="1:7" hidden="1">
      <c r="A288" t="str">
        <f t="shared" si="4"/>
        <v>NOVO-07US-Standard-M8</v>
      </c>
      <c r="B288" t="s">
        <v>29</v>
      </c>
      <c r="C288" t="s">
        <v>34</v>
      </c>
      <c r="D288" t="s">
        <v>254</v>
      </c>
      <c r="E288" t="s">
        <v>33</v>
      </c>
      <c r="F288" t="s">
        <v>119</v>
      </c>
      <c r="G288" s="11">
        <v>17630.014075140494</v>
      </c>
    </row>
    <row r="289" spans="1:7" hidden="1">
      <c r="A289" t="str">
        <f t="shared" si="4"/>
        <v>NOVO-07D7-Plus-M8</v>
      </c>
      <c r="B289" t="s">
        <v>29</v>
      </c>
      <c r="C289" t="s">
        <v>42</v>
      </c>
      <c r="E289" t="s">
        <v>10</v>
      </c>
      <c r="F289" t="s">
        <v>119</v>
      </c>
      <c r="G289" s="11">
        <v>24889.431635492463</v>
      </c>
    </row>
    <row r="290" spans="1:7" hidden="1">
      <c r="A290" t="str">
        <f t="shared" si="4"/>
        <v>NOVO-07NG-Standard-M8</v>
      </c>
      <c r="B290" t="s">
        <v>29</v>
      </c>
      <c r="C290" t="s">
        <v>49</v>
      </c>
      <c r="D290" t="s">
        <v>255</v>
      </c>
      <c r="E290" t="s">
        <v>33</v>
      </c>
      <c r="F290" t="s">
        <v>119</v>
      </c>
      <c r="G290" s="11">
        <v>21951.095956302383</v>
      </c>
    </row>
    <row r="291" spans="1:7" hidden="1">
      <c r="A291" t="str">
        <f t="shared" si="4"/>
        <v>NOVO-07NM-Plus-M8</v>
      </c>
      <c r="B291" t="s">
        <v>29</v>
      </c>
      <c r="C291" t="s">
        <v>53</v>
      </c>
      <c r="E291" t="s">
        <v>10</v>
      </c>
      <c r="F291" t="s">
        <v>119</v>
      </c>
      <c r="G291" s="11">
        <v>47013.370867041318</v>
      </c>
    </row>
    <row r="292" spans="1:7" hidden="1">
      <c r="A292" t="str">
        <f t="shared" si="4"/>
        <v>NOVO-07DA-Standard-M8</v>
      </c>
      <c r="B292" t="s">
        <v>29</v>
      </c>
      <c r="C292" t="s">
        <v>58</v>
      </c>
      <c r="D292" t="s">
        <v>256</v>
      </c>
      <c r="E292" t="s">
        <v>33</v>
      </c>
      <c r="F292" t="s">
        <v>119</v>
      </c>
      <c r="G292" s="11">
        <v>36815.617627499269</v>
      </c>
    </row>
    <row r="293" spans="1:7" hidden="1">
      <c r="A293" t="str">
        <f t="shared" si="4"/>
        <v>NOVO-07DB-Plus-M8</v>
      </c>
      <c r="B293" t="s">
        <v>29</v>
      </c>
      <c r="C293" t="s">
        <v>62</v>
      </c>
      <c r="E293" t="s">
        <v>10</v>
      </c>
      <c r="F293" t="s">
        <v>119</v>
      </c>
      <c r="G293" s="11">
        <v>64556.96330455858</v>
      </c>
    </row>
    <row r="294" spans="1:7" hidden="1">
      <c r="A294" t="str">
        <f t="shared" si="4"/>
        <v>NOVO-07DD-Standard-M8</v>
      </c>
      <c r="B294" t="s">
        <v>29</v>
      </c>
      <c r="C294" t="s">
        <v>67</v>
      </c>
      <c r="D294" t="s">
        <v>257</v>
      </c>
      <c r="E294" t="s">
        <v>33</v>
      </c>
      <c r="F294" t="s">
        <v>119</v>
      </c>
      <c r="G294" s="11">
        <v>23765.950346390375</v>
      </c>
    </row>
    <row r="295" spans="1:7" hidden="1">
      <c r="A295" t="str">
        <f t="shared" si="4"/>
        <v>NOVO-07DE-Plus-M8</v>
      </c>
      <c r="B295" t="s">
        <v>29</v>
      </c>
      <c r="C295" t="s">
        <v>71</v>
      </c>
      <c r="E295" t="s">
        <v>10</v>
      </c>
      <c r="F295" t="s">
        <v>119</v>
      </c>
      <c r="G295" s="11">
        <v>47099.792504664561</v>
      </c>
    </row>
    <row r="296" spans="1:7" hidden="1">
      <c r="A296" t="str">
        <f t="shared" si="4"/>
        <v>NOVO-07NX-Standard-M8</v>
      </c>
      <c r="B296" t="s">
        <v>29</v>
      </c>
      <c r="C296" t="s">
        <v>76</v>
      </c>
      <c r="D296" t="s">
        <v>258</v>
      </c>
      <c r="E296" t="s">
        <v>33</v>
      </c>
      <c r="F296" t="s">
        <v>119</v>
      </c>
      <c r="G296" s="11">
        <v>33704.438673062708</v>
      </c>
    </row>
    <row r="297" spans="1:7" hidden="1">
      <c r="A297" t="str">
        <f t="shared" si="4"/>
        <v>NOVO-07NY-Plus-M8</v>
      </c>
      <c r="B297" t="s">
        <v>29</v>
      </c>
      <c r="C297" t="s">
        <v>80</v>
      </c>
      <c r="E297" t="s">
        <v>10</v>
      </c>
      <c r="F297" t="s">
        <v>119</v>
      </c>
      <c r="G297" s="11">
        <v>56606.172643220707</v>
      </c>
    </row>
    <row r="298" spans="1:7" hidden="1">
      <c r="A298" t="str">
        <f t="shared" si="4"/>
        <v>NOVO-07N1-Standard-M8</v>
      </c>
      <c r="B298" t="s">
        <v>29</v>
      </c>
      <c r="C298" t="s">
        <v>85</v>
      </c>
      <c r="D298" t="s">
        <v>259</v>
      </c>
      <c r="E298" t="s">
        <v>33</v>
      </c>
      <c r="F298" t="s">
        <v>119</v>
      </c>
      <c r="G298" s="11">
        <v>41914.494247270297</v>
      </c>
    </row>
    <row r="299" spans="1:7" hidden="1">
      <c r="A299" t="str">
        <f t="shared" si="4"/>
        <v>NOVO-07N2-Plus-M8</v>
      </c>
      <c r="B299" t="s">
        <v>29</v>
      </c>
      <c r="C299" t="s">
        <v>89</v>
      </c>
      <c r="E299" t="s">
        <v>10</v>
      </c>
      <c r="F299" t="s">
        <v>119</v>
      </c>
      <c r="G299" s="11">
        <v>66631.082607516277</v>
      </c>
    </row>
    <row r="300" spans="1:7" hidden="1">
      <c r="A300" t="str">
        <f t="shared" si="4"/>
        <v>NOVO-07N4-Standard-M8</v>
      </c>
      <c r="B300" t="s">
        <v>29</v>
      </c>
      <c r="C300" t="s">
        <v>94</v>
      </c>
      <c r="D300" t="s">
        <v>260</v>
      </c>
      <c r="E300" t="s">
        <v>33</v>
      </c>
      <c r="F300" t="s">
        <v>119</v>
      </c>
      <c r="G300" s="11">
        <v>44507.143375967426</v>
      </c>
    </row>
    <row r="301" spans="1:7" hidden="1">
      <c r="A301" t="str">
        <f t="shared" si="4"/>
        <v>NOVO-07N5-Plus-M8</v>
      </c>
      <c r="B301" t="s">
        <v>29</v>
      </c>
      <c r="C301" t="s">
        <v>98</v>
      </c>
      <c r="E301" t="s">
        <v>10</v>
      </c>
      <c r="F301" t="s">
        <v>119</v>
      </c>
      <c r="G301" s="11">
        <v>95495.90957367768</v>
      </c>
    </row>
    <row r="302" spans="1:7" hidden="1">
      <c r="A302" t="str">
        <f t="shared" si="4"/>
        <v>NOVO-07NW-Standard-M8</v>
      </c>
      <c r="B302" t="s">
        <v>29</v>
      </c>
      <c r="C302" t="s">
        <v>103</v>
      </c>
      <c r="D302" t="s">
        <v>261</v>
      </c>
      <c r="E302" t="s">
        <v>33</v>
      </c>
      <c r="F302" t="s">
        <v>119</v>
      </c>
      <c r="G302" s="11">
        <v>25321.539823608651</v>
      </c>
    </row>
    <row r="303" spans="1:7" hidden="1">
      <c r="A303" t="str">
        <f t="shared" si="4"/>
        <v>NOVO-07NK-Plus-M8</v>
      </c>
      <c r="B303" t="s">
        <v>29</v>
      </c>
      <c r="C303" t="s">
        <v>107</v>
      </c>
      <c r="E303" t="s">
        <v>10</v>
      </c>
      <c r="F303" t="s">
        <v>119</v>
      </c>
      <c r="G303" s="11">
        <v>47964.008880896938</v>
      </c>
    </row>
    <row r="304" spans="1:7" hidden="1">
      <c r="A304" t="str">
        <f t="shared" si="4"/>
        <v>NOVO-07N7-Standard-M8</v>
      </c>
      <c r="B304" t="s">
        <v>29</v>
      </c>
      <c r="C304" t="s">
        <v>112</v>
      </c>
      <c r="D304" t="s">
        <v>262</v>
      </c>
      <c r="E304" t="s">
        <v>33</v>
      </c>
      <c r="F304" t="s">
        <v>119</v>
      </c>
      <c r="G304" s="11">
        <v>41136.699508661157</v>
      </c>
    </row>
    <row r="305" spans="1:7" hidden="1">
      <c r="A305" t="str">
        <f t="shared" si="4"/>
        <v>NOVO-07N8-Plus-M8</v>
      </c>
      <c r="B305" t="s">
        <v>29</v>
      </c>
      <c r="C305" t="s">
        <v>116</v>
      </c>
      <c r="E305" t="s">
        <v>10</v>
      </c>
      <c r="F305" t="s">
        <v>119</v>
      </c>
      <c r="G305" s="11">
        <v>57470.389019453083</v>
      </c>
    </row>
    <row r="306" spans="1:7" hidden="1">
      <c r="A306" t="str">
        <f t="shared" si="4"/>
        <v>NOVO-07NH-Standard-M8</v>
      </c>
      <c r="B306" t="s">
        <v>29</v>
      </c>
      <c r="C306" t="s">
        <v>121</v>
      </c>
      <c r="D306" t="s">
        <v>263</v>
      </c>
      <c r="E306" t="s">
        <v>33</v>
      </c>
      <c r="F306" t="s">
        <v>119</v>
      </c>
      <c r="G306" s="11">
        <v>44679.986651213905</v>
      </c>
    </row>
    <row r="307" spans="1:7" hidden="1">
      <c r="A307" t="str">
        <f t="shared" si="4"/>
        <v>NOVO-07NA-Plus-M8</v>
      </c>
      <c r="B307" t="s">
        <v>29</v>
      </c>
      <c r="C307" t="s">
        <v>125</v>
      </c>
      <c r="E307" t="s">
        <v>10</v>
      </c>
      <c r="F307" t="s">
        <v>119</v>
      </c>
      <c r="G307" s="11">
        <v>66717.504245139527</v>
      </c>
    </row>
    <row r="308" spans="1:7" hidden="1">
      <c r="A308" t="str">
        <f t="shared" si="4"/>
        <v>NOVO-07UA-Standard-M8</v>
      </c>
      <c r="B308" t="s">
        <v>29</v>
      </c>
      <c r="C308" t="s">
        <v>130</v>
      </c>
      <c r="D308" t="s">
        <v>264</v>
      </c>
      <c r="E308" t="s">
        <v>33</v>
      </c>
      <c r="F308" t="s">
        <v>119</v>
      </c>
      <c r="G308" s="11">
        <v>52198.669124435582</v>
      </c>
    </row>
    <row r="309" spans="1:7" hidden="1">
      <c r="A309" t="str">
        <f t="shared" si="4"/>
        <v>NOVO-07UB-Plus-M8</v>
      </c>
      <c r="B309" t="s">
        <v>29</v>
      </c>
      <c r="C309" t="s">
        <v>133</v>
      </c>
      <c r="E309" t="s">
        <v>10</v>
      </c>
      <c r="F309" t="s">
        <v>119</v>
      </c>
      <c r="G309" s="11">
        <v>99816.991454839575</v>
      </c>
    </row>
    <row r="310" spans="1:7" hidden="1">
      <c r="A310" t="str">
        <f t="shared" si="4"/>
        <v>NOVO-07US-Standard-X1</v>
      </c>
      <c r="B310" t="s">
        <v>29</v>
      </c>
      <c r="C310" t="s">
        <v>34</v>
      </c>
      <c r="D310" t="s">
        <v>254</v>
      </c>
      <c r="E310" t="s">
        <v>33</v>
      </c>
      <c r="F310" t="s">
        <v>132</v>
      </c>
      <c r="G310" s="11">
        <v>5185.2982573942636</v>
      </c>
    </row>
    <row r="311" spans="1:7" hidden="1">
      <c r="A311" t="str">
        <f t="shared" si="4"/>
        <v>NOVO-07D7-Plus-X1</v>
      </c>
      <c r="B311" t="s">
        <v>29</v>
      </c>
      <c r="C311" t="s">
        <v>42</v>
      </c>
      <c r="E311" t="s">
        <v>10</v>
      </c>
      <c r="F311" t="s">
        <v>132</v>
      </c>
      <c r="G311" s="11">
        <v>9765.6450514258631</v>
      </c>
    </row>
    <row r="312" spans="1:7" hidden="1">
      <c r="A312" t="str">
        <f t="shared" si="4"/>
        <v>NOVO-07NG-Standard-X1</v>
      </c>
      <c r="B312" t="s">
        <v>29</v>
      </c>
      <c r="C312" t="s">
        <v>49</v>
      </c>
      <c r="D312" t="s">
        <v>255</v>
      </c>
      <c r="E312" t="s">
        <v>33</v>
      </c>
      <c r="F312" t="s">
        <v>132</v>
      </c>
      <c r="G312" s="11">
        <v>9506.3801385561492</v>
      </c>
    </row>
    <row r="313" spans="1:7" hidden="1">
      <c r="A313" t="str">
        <f t="shared" si="4"/>
        <v>NOVO-07NM-Plus-X1</v>
      </c>
      <c r="B313" t="s">
        <v>29</v>
      </c>
      <c r="C313" t="s">
        <v>53</v>
      </c>
      <c r="E313" t="s">
        <v>10</v>
      </c>
      <c r="F313" t="s">
        <v>132</v>
      </c>
      <c r="G313" s="11">
        <v>20481.928116707339</v>
      </c>
    </row>
    <row r="314" spans="1:7" hidden="1">
      <c r="A314" t="str">
        <f t="shared" si="4"/>
        <v>NOVO-07DA-Standard-X1</v>
      </c>
      <c r="B314" t="s">
        <v>29</v>
      </c>
      <c r="C314" t="s">
        <v>58</v>
      </c>
      <c r="D314" t="s">
        <v>256</v>
      </c>
      <c r="E314" t="s">
        <v>33</v>
      </c>
      <c r="F314" t="s">
        <v>132</v>
      </c>
      <c r="G314" s="11">
        <v>14605.256758327176</v>
      </c>
    </row>
    <row r="315" spans="1:7" hidden="1">
      <c r="A315" t="str">
        <f t="shared" si="4"/>
        <v>NOVO-07DB-Plus-X1</v>
      </c>
      <c r="B315" t="s">
        <v>29</v>
      </c>
      <c r="C315" t="s">
        <v>62</v>
      </c>
      <c r="E315" t="s">
        <v>10</v>
      </c>
      <c r="F315" t="s">
        <v>132</v>
      </c>
      <c r="G315" s="11">
        <v>30247.573168133204</v>
      </c>
    </row>
    <row r="316" spans="1:7" hidden="1">
      <c r="A316" t="str">
        <f t="shared" si="4"/>
        <v>NOVO-07DD-Standard-X1</v>
      </c>
      <c r="B316" t="s">
        <v>29</v>
      </c>
      <c r="C316" t="s">
        <v>67</v>
      </c>
      <c r="D316" t="s">
        <v>257</v>
      </c>
      <c r="E316" t="s">
        <v>33</v>
      </c>
      <c r="F316" t="s">
        <v>132</v>
      </c>
      <c r="G316" s="11">
        <v>9679.2234138026251</v>
      </c>
    </row>
    <row r="317" spans="1:7" hidden="1">
      <c r="A317" t="str">
        <f t="shared" si="4"/>
        <v>NOVO-07DE-Plus-X1</v>
      </c>
      <c r="B317" t="s">
        <v>29</v>
      </c>
      <c r="C317" t="s">
        <v>71</v>
      </c>
      <c r="E317" t="s">
        <v>10</v>
      </c>
      <c r="F317" t="s">
        <v>132</v>
      </c>
      <c r="G317" s="11">
        <v>20568.349754330578</v>
      </c>
    </row>
    <row r="318" spans="1:7" hidden="1">
      <c r="A318" t="str">
        <f t="shared" si="4"/>
        <v>NOVO-07NX-Standard-X1</v>
      </c>
      <c r="B318" t="s">
        <v>29</v>
      </c>
      <c r="C318" t="s">
        <v>76</v>
      </c>
      <c r="D318" t="s">
        <v>258</v>
      </c>
      <c r="E318" t="s">
        <v>33</v>
      </c>
      <c r="F318" t="s">
        <v>132</v>
      </c>
      <c r="G318" s="11">
        <v>11839.764354383567</v>
      </c>
    </row>
    <row r="319" spans="1:7" hidden="1">
      <c r="A319" t="str">
        <f t="shared" si="4"/>
        <v>NOVO-07NY-Plus-X1</v>
      </c>
      <c r="B319" t="s">
        <v>29</v>
      </c>
      <c r="C319" t="s">
        <v>80</v>
      </c>
      <c r="E319" t="s">
        <v>10</v>
      </c>
      <c r="F319" t="s">
        <v>132</v>
      </c>
      <c r="G319" s="11">
        <v>24457.323447376275</v>
      </c>
    </row>
    <row r="320" spans="1:7" hidden="1">
      <c r="A320" t="str">
        <f t="shared" si="4"/>
        <v>NOVO-07N1-Standard-X1</v>
      </c>
      <c r="B320" t="s">
        <v>29</v>
      </c>
      <c r="C320" t="s">
        <v>85</v>
      </c>
      <c r="D320" t="s">
        <v>259</v>
      </c>
      <c r="E320" t="s">
        <v>33</v>
      </c>
      <c r="F320" t="s">
        <v>132</v>
      </c>
      <c r="G320" s="11">
        <v>14691.678395950412</v>
      </c>
    </row>
    <row r="321" spans="1:7" hidden="1">
      <c r="A321" t="str">
        <f t="shared" si="4"/>
        <v>NOVO-07N2-Plus-X1</v>
      </c>
      <c r="B321" t="s">
        <v>29</v>
      </c>
      <c r="C321" t="s">
        <v>89</v>
      </c>
      <c r="E321" t="s">
        <v>10</v>
      </c>
      <c r="F321" t="s">
        <v>132</v>
      </c>
      <c r="G321" s="11">
        <v>30593.259718626152</v>
      </c>
    </row>
    <row r="322" spans="1:7" hidden="1">
      <c r="A322" t="str">
        <f t="shared" ref="A322:A385" si="5">B322&amp;"-"&amp;C322&amp;"-"&amp;E322&amp;"-"&amp;F322</f>
        <v>NOVO-07N4-Standard-X1</v>
      </c>
      <c r="B322" t="s">
        <v>29</v>
      </c>
      <c r="C322" t="s">
        <v>94</v>
      </c>
      <c r="D322" t="s">
        <v>260</v>
      </c>
      <c r="E322" t="s">
        <v>33</v>
      </c>
      <c r="F322" t="s">
        <v>132</v>
      </c>
      <c r="G322" s="11">
        <v>19272.02518998201</v>
      </c>
    </row>
    <row r="323" spans="1:7" hidden="1">
      <c r="A323" t="str">
        <f t="shared" si="5"/>
        <v>NOVO-07N5-Plus-X1</v>
      </c>
      <c r="B323" t="s">
        <v>29</v>
      </c>
      <c r="C323" t="s">
        <v>98</v>
      </c>
      <c r="E323" t="s">
        <v>10</v>
      </c>
      <c r="F323" t="s">
        <v>132</v>
      </c>
      <c r="G323" s="11">
        <v>36815.617627499269</v>
      </c>
    </row>
    <row r="324" spans="1:7" hidden="1">
      <c r="A324" t="str">
        <f t="shared" si="5"/>
        <v>NOVO-07NW-Standard-X1</v>
      </c>
      <c r="B324" t="s">
        <v>29</v>
      </c>
      <c r="C324" t="s">
        <v>103</v>
      </c>
      <c r="D324" t="s">
        <v>261</v>
      </c>
      <c r="E324" t="s">
        <v>33</v>
      </c>
      <c r="F324" t="s">
        <v>132</v>
      </c>
      <c r="G324" s="11">
        <v>9852.0666890491011</v>
      </c>
    </row>
    <row r="325" spans="1:7" hidden="1">
      <c r="A325" t="str">
        <f t="shared" si="5"/>
        <v>NOVO-07NK-Plus-X1</v>
      </c>
      <c r="B325" t="s">
        <v>29</v>
      </c>
      <c r="C325" t="s">
        <v>107</v>
      </c>
      <c r="E325" t="s">
        <v>10</v>
      </c>
      <c r="F325" t="s">
        <v>132</v>
      </c>
      <c r="G325" s="11">
        <v>21086.879580070003</v>
      </c>
    </row>
    <row r="326" spans="1:7" hidden="1">
      <c r="A326" t="str">
        <f t="shared" si="5"/>
        <v>NOVO-07N7-Standard-X1</v>
      </c>
      <c r="B326" t="s">
        <v>29</v>
      </c>
      <c r="C326" t="s">
        <v>112</v>
      </c>
      <c r="D326" t="s">
        <v>262</v>
      </c>
      <c r="E326" t="s">
        <v>33</v>
      </c>
      <c r="F326" t="s">
        <v>132</v>
      </c>
      <c r="G326" s="11">
        <v>12012.607629630043</v>
      </c>
    </row>
    <row r="327" spans="1:7" hidden="1">
      <c r="A327" t="str">
        <f t="shared" si="5"/>
        <v>NOVO-07N8-Plus-X1</v>
      </c>
      <c r="B327" t="s">
        <v>29</v>
      </c>
      <c r="C327" t="s">
        <v>116</v>
      </c>
      <c r="E327" t="s">
        <v>10</v>
      </c>
      <c r="F327" t="s">
        <v>132</v>
      </c>
      <c r="G327" s="11">
        <v>24975.853273115703</v>
      </c>
    </row>
    <row r="328" spans="1:7" hidden="1">
      <c r="A328" t="str">
        <f t="shared" si="5"/>
        <v>NOVO-07NH-Standard-X1</v>
      </c>
      <c r="B328" t="s">
        <v>29</v>
      </c>
      <c r="C328" t="s">
        <v>121</v>
      </c>
      <c r="D328" t="s">
        <v>263</v>
      </c>
      <c r="E328" t="s">
        <v>33</v>
      </c>
      <c r="F328" t="s">
        <v>132</v>
      </c>
      <c r="G328" s="11">
        <v>14778.10003357365</v>
      </c>
    </row>
    <row r="329" spans="1:7" hidden="1">
      <c r="A329" t="str">
        <f t="shared" si="5"/>
        <v>NOVO-07NA-Plus-X1</v>
      </c>
      <c r="B329" t="s">
        <v>29</v>
      </c>
      <c r="C329" t="s">
        <v>125</v>
      </c>
      <c r="E329" t="s">
        <v>10</v>
      </c>
      <c r="F329" t="s">
        <v>132</v>
      </c>
      <c r="G329" s="11">
        <v>30679.681356249392</v>
      </c>
    </row>
    <row r="330" spans="1:7" hidden="1">
      <c r="A330" t="str">
        <f t="shared" si="5"/>
        <v>NOVO-07UA-Standard-X1</v>
      </c>
      <c r="B330" t="s">
        <v>29</v>
      </c>
      <c r="C330" t="s">
        <v>130</v>
      </c>
      <c r="D330" t="s">
        <v>264</v>
      </c>
      <c r="E330" t="s">
        <v>33</v>
      </c>
      <c r="F330" t="s">
        <v>132</v>
      </c>
      <c r="G330" s="11">
        <v>20049.819928591151</v>
      </c>
    </row>
    <row r="331" spans="1:7" hidden="1">
      <c r="A331" t="str">
        <f t="shared" si="5"/>
        <v>NOVO-07UB-Plus-X1</v>
      </c>
      <c r="B331" t="s">
        <v>29</v>
      </c>
      <c r="C331" t="s">
        <v>133</v>
      </c>
      <c r="E331" t="s">
        <v>10</v>
      </c>
      <c r="F331" t="s">
        <v>132</v>
      </c>
      <c r="G331" s="11">
        <v>37766.255641354881</v>
      </c>
    </row>
    <row r="332" spans="1:7" hidden="1">
      <c r="A332" t="str">
        <f t="shared" si="5"/>
        <v>NOVO-07US-Standard-X2</v>
      </c>
      <c r="B332" t="s">
        <v>29</v>
      </c>
      <c r="C332" t="s">
        <v>34</v>
      </c>
      <c r="D332" t="s">
        <v>254</v>
      </c>
      <c r="E332" t="s">
        <v>33</v>
      </c>
      <c r="F332" t="s">
        <v>135</v>
      </c>
      <c r="G332" s="11">
        <v>5185.2982573942636</v>
      </c>
    </row>
    <row r="333" spans="1:7" hidden="1">
      <c r="A333" t="str">
        <f t="shared" si="5"/>
        <v>NOVO-07D7-Plus-X2</v>
      </c>
      <c r="B333" t="s">
        <v>29</v>
      </c>
      <c r="C333" t="s">
        <v>42</v>
      </c>
      <c r="E333" t="s">
        <v>10</v>
      </c>
      <c r="F333" t="s">
        <v>135</v>
      </c>
      <c r="G333" s="11">
        <v>9765.6450514258631</v>
      </c>
    </row>
    <row r="334" spans="1:7" hidden="1">
      <c r="A334" t="str">
        <f t="shared" si="5"/>
        <v>NOVO-07NG-Standard-X2</v>
      </c>
      <c r="B334" t="s">
        <v>29</v>
      </c>
      <c r="C334" t="s">
        <v>49</v>
      </c>
      <c r="D334" t="s">
        <v>255</v>
      </c>
      <c r="E334" t="s">
        <v>33</v>
      </c>
      <c r="F334" t="s">
        <v>135</v>
      </c>
      <c r="G334" s="11">
        <v>9506.3801385561492</v>
      </c>
    </row>
    <row r="335" spans="1:7" hidden="1">
      <c r="A335" t="str">
        <f t="shared" si="5"/>
        <v>NOVO-07NM-Plus-X2</v>
      </c>
      <c r="B335" t="s">
        <v>29</v>
      </c>
      <c r="C335" t="s">
        <v>53</v>
      </c>
      <c r="E335" t="s">
        <v>10</v>
      </c>
      <c r="F335" t="s">
        <v>135</v>
      </c>
      <c r="G335" s="11">
        <v>20481.928116707339</v>
      </c>
    </row>
    <row r="336" spans="1:7" hidden="1">
      <c r="A336" t="str">
        <f t="shared" si="5"/>
        <v>NOVO-07DA-Standard-X2</v>
      </c>
      <c r="B336" t="s">
        <v>29</v>
      </c>
      <c r="C336" t="s">
        <v>58</v>
      </c>
      <c r="D336" t="s">
        <v>256</v>
      </c>
      <c r="E336" t="s">
        <v>33</v>
      </c>
      <c r="F336" t="s">
        <v>135</v>
      </c>
      <c r="G336" s="11">
        <v>14605.256758327176</v>
      </c>
    </row>
    <row r="337" spans="1:7" hidden="1">
      <c r="A337" t="str">
        <f t="shared" si="5"/>
        <v>NOVO-07DB-Plus-X2</v>
      </c>
      <c r="B337" t="s">
        <v>29</v>
      </c>
      <c r="C337" t="s">
        <v>62</v>
      </c>
      <c r="E337" t="s">
        <v>10</v>
      </c>
      <c r="F337" t="s">
        <v>135</v>
      </c>
      <c r="G337" s="11">
        <v>30247.573168133204</v>
      </c>
    </row>
    <row r="338" spans="1:7" hidden="1">
      <c r="A338" t="str">
        <f t="shared" si="5"/>
        <v>NOVO-07DD-Standard-X2</v>
      </c>
      <c r="B338" t="s">
        <v>29</v>
      </c>
      <c r="C338" t="s">
        <v>67</v>
      </c>
      <c r="D338" t="s">
        <v>257</v>
      </c>
      <c r="E338" t="s">
        <v>33</v>
      </c>
      <c r="F338" t="s">
        <v>135</v>
      </c>
      <c r="G338" s="11">
        <v>9679.2234138026251</v>
      </c>
    </row>
    <row r="339" spans="1:7" hidden="1">
      <c r="A339" t="str">
        <f t="shared" si="5"/>
        <v>NOVO-07DE-Plus-X2</v>
      </c>
      <c r="B339" t="s">
        <v>29</v>
      </c>
      <c r="C339" t="s">
        <v>71</v>
      </c>
      <c r="E339" t="s">
        <v>10</v>
      </c>
      <c r="F339" t="s">
        <v>135</v>
      </c>
      <c r="G339" s="11">
        <v>20568.349754330578</v>
      </c>
    </row>
    <row r="340" spans="1:7" hidden="1">
      <c r="A340" t="str">
        <f t="shared" si="5"/>
        <v>NOVO-07NX-Standard-X2</v>
      </c>
      <c r="B340" t="s">
        <v>29</v>
      </c>
      <c r="C340" t="s">
        <v>76</v>
      </c>
      <c r="D340" t="s">
        <v>258</v>
      </c>
      <c r="E340" t="s">
        <v>33</v>
      </c>
      <c r="F340" t="s">
        <v>135</v>
      </c>
      <c r="G340" s="11">
        <v>11839.764354383567</v>
      </c>
    </row>
    <row r="341" spans="1:7" hidden="1">
      <c r="A341" t="str">
        <f t="shared" si="5"/>
        <v>NOVO-07NY-Plus-X2</v>
      </c>
      <c r="B341" t="s">
        <v>29</v>
      </c>
      <c r="C341" t="s">
        <v>80</v>
      </c>
      <c r="E341" t="s">
        <v>10</v>
      </c>
      <c r="F341" t="s">
        <v>135</v>
      </c>
      <c r="G341" s="11">
        <v>24457.323447376275</v>
      </c>
    </row>
    <row r="342" spans="1:7" hidden="1">
      <c r="A342" t="str">
        <f t="shared" si="5"/>
        <v>NOVO-07N1-Standard-X2</v>
      </c>
      <c r="B342" t="s">
        <v>29</v>
      </c>
      <c r="C342" t="s">
        <v>85</v>
      </c>
      <c r="D342" t="s">
        <v>259</v>
      </c>
      <c r="E342" t="s">
        <v>33</v>
      </c>
      <c r="F342" t="s">
        <v>135</v>
      </c>
      <c r="G342" s="11">
        <v>14691.678395950412</v>
      </c>
    </row>
    <row r="343" spans="1:7" hidden="1">
      <c r="A343" t="str">
        <f t="shared" si="5"/>
        <v>NOVO-07N2-Plus-X2</v>
      </c>
      <c r="B343" t="s">
        <v>29</v>
      </c>
      <c r="C343" t="s">
        <v>89</v>
      </c>
      <c r="E343" t="s">
        <v>10</v>
      </c>
      <c r="F343" t="s">
        <v>135</v>
      </c>
      <c r="G343" s="11">
        <v>30593.259718626152</v>
      </c>
    </row>
    <row r="344" spans="1:7" hidden="1">
      <c r="A344" t="str">
        <f t="shared" si="5"/>
        <v>NOVO-07N4-Standard-X2</v>
      </c>
      <c r="B344" t="s">
        <v>29</v>
      </c>
      <c r="C344" t="s">
        <v>94</v>
      </c>
      <c r="D344" t="s">
        <v>260</v>
      </c>
      <c r="E344" t="s">
        <v>33</v>
      </c>
      <c r="F344" t="s">
        <v>135</v>
      </c>
      <c r="G344" s="11">
        <v>19272.02518998201</v>
      </c>
    </row>
    <row r="345" spans="1:7" hidden="1">
      <c r="A345" t="str">
        <f t="shared" si="5"/>
        <v>NOVO-07N5-Plus-X2</v>
      </c>
      <c r="B345" t="s">
        <v>29</v>
      </c>
      <c r="C345" t="s">
        <v>98</v>
      </c>
      <c r="E345" t="s">
        <v>10</v>
      </c>
      <c r="F345" t="s">
        <v>135</v>
      </c>
      <c r="G345" s="11">
        <v>36815.617627499269</v>
      </c>
    </row>
    <row r="346" spans="1:7" hidden="1">
      <c r="A346" t="str">
        <f t="shared" si="5"/>
        <v>NOVO-07NW-Standard-X2</v>
      </c>
      <c r="B346" t="s">
        <v>29</v>
      </c>
      <c r="C346" t="s">
        <v>103</v>
      </c>
      <c r="D346" t="s">
        <v>261</v>
      </c>
      <c r="E346" t="s">
        <v>33</v>
      </c>
      <c r="F346" t="s">
        <v>135</v>
      </c>
      <c r="G346" s="11">
        <v>9852.0666890491011</v>
      </c>
    </row>
    <row r="347" spans="1:7" hidden="1">
      <c r="A347" t="str">
        <f t="shared" si="5"/>
        <v>NOVO-07NK-Plus-X2</v>
      </c>
      <c r="B347" t="s">
        <v>29</v>
      </c>
      <c r="C347" t="s">
        <v>107</v>
      </c>
      <c r="E347" t="s">
        <v>10</v>
      </c>
      <c r="F347" t="s">
        <v>135</v>
      </c>
      <c r="G347" s="11">
        <v>21086.879580070003</v>
      </c>
    </row>
    <row r="348" spans="1:7" hidden="1">
      <c r="A348" t="str">
        <f t="shared" si="5"/>
        <v>NOVO-07N7-Standard-X2</v>
      </c>
      <c r="B348" t="s">
        <v>29</v>
      </c>
      <c r="C348" t="s">
        <v>112</v>
      </c>
      <c r="D348" t="s">
        <v>262</v>
      </c>
      <c r="E348" t="s">
        <v>33</v>
      </c>
      <c r="F348" t="s">
        <v>135</v>
      </c>
      <c r="G348" s="11">
        <v>12012.607629630043</v>
      </c>
    </row>
    <row r="349" spans="1:7" hidden="1">
      <c r="A349" t="str">
        <f t="shared" si="5"/>
        <v>NOVO-07N8-Plus-X2</v>
      </c>
      <c r="B349" t="s">
        <v>29</v>
      </c>
      <c r="C349" t="s">
        <v>116</v>
      </c>
      <c r="E349" t="s">
        <v>10</v>
      </c>
      <c r="F349" t="s">
        <v>135</v>
      </c>
      <c r="G349" s="11">
        <v>24975.853273115703</v>
      </c>
    </row>
    <row r="350" spans="1:7" hidden="1">
      <c r="A350" t="str">
        <f t="shared" si="5"/>
        <v>NOVO-07NH-Standard-X2</v>
      </c>
      <c r="B350" t="s">
        <v>29</v>
      </c>
      <c r="C350" t="s">
        <v>121</v>
      </c>
      <c r="D350" t="s">
        <v>263</v>
      </c>
      <c r="E350" t="s">
        <v>33</v>
      </c>
      <c r="F350" t="s">
        <v>135</v>
      </c>
      <c r="G350" s="11">
        <v>14778.10003357365</v>
      </c>
    </row>
    <row r="351" spans="1:7" hidden="1">
      <c r="A351" t="str">
        <f t="shared" si="5"/>
        <v>NOVO-07NA-Plus-X2</v>
      </c>
      <c r="B351" t="s">
        <v>29</v>
      </c>
      <c r="C351" t="s">
        <v>125</v>
      </c>
      <c r="E351" t="s">
        <v>10</v>
      </c>
      <c r="F351" t="s">
        <v>135</v>
      </c>
      <c r="G351" s="11">
        <v>30679.681356249392</v>
      </c>
    </row>
    <row r="352" spans="1:7" hidden="1">
      <c r="A352" t="str">
        <f t="shared" si="5"/>
        <v>NOVO-07UA-Standard-X2</v>
      </c>
      <c r="B352" t="s">
        <v>29</v>
      </c>
      <c r="C352" t="s">
        <v>130</v>
      </c>
      <c r="D352" t="s">
        <v>264</v>
      </c>
      <c r="E352" t="s">
        <v>33</v>
      </c>
      <c r="F352" t="s">
        <v>135</v>
      </c>
      <c r="G352" s="11">
        <v>20049.819928591151</v>
      </c>
    </row>
    <row r="353" spans="1:7" hidden="1">
      <c r="A353" t="str">
        <f t="shared" si="5"/>
        <v>NOVO-07UB-Plus-X2</v>
      </c>
      <c r="B353" t="s">
        <v>29</v>
      </c>
      <c r="C353" t="s">
        <v>133</v>
      </c>
      <c r="E353" t="s">
        <v>10</v>
      </c>
      <c r="F353" t="s">
        <v>135</v>
      </c>
      <c r="G353" s="11">
        <v>37766.255641354881</v>
      </c>
    </row>
    <row r="354" spans="1:7" hidden="1">
      <c r="A354" t="str">
        <f t="shared" si="5"/>
        <v>NOVO-07US-Standard-X3</v>
      </c>
      <c r="B354" t="s">
        <v>29</v>
      </c>
      <c r="C354" t="s">
        <v>34</v>
      </c>
      <c r="D354" t="s">
        <v>254</v>
      </c>
      <c r="E354" t="s">
        <v>33</v>
      </c>
      <c r="F354" t="s">
        <v>140</v>
      </c>
      <c r="G354" s="11">
        <v>5617.4064455104517</v>
      </c>
    </row>
    <row r="355" spans="1:7" hidden="1">
      <c r="A355" t="str">
        <f t="shared" si="5"/>
        <v>NOVO-07D7-Plus-X3</v>
      </c>
      <c r="B355" t="s">
        <v>29</v>
      </c>
      <c r="C355" t="s">
        <v>42</v>
      </c>
      <c r="E355" t="s">
        <v>10</v>
      </c>
      <c r="F355" t="s">
        <v>140</v>
      </c>
      <c r="G355" s="11">
        <v>10284.174877165289</v>
      </c>
    </row>
    <row r="356" spans="1:7" hidden="1">
      <c r="A356" t="str">
        <f t="shared" si="5"/>
        <v>NOVO-07NG-Standard-X3</v>
      </c>
      <c r="B356" t="s">
        <v>29</v>
      </c>
      <c r="C356" t="s">
        <v>49</v>
      </c>
      <c r="D356" t="s">
        <v>255</v>
      </c>
      <c r="E356" t="s">
        <v>33</v>
      </c>
      <c r="F356" t="s">
        <v>140</v>
      </c>
      <c r="G356" s="11">
        <v>10543.439790035001</v>
      </c>
    </row>
    <row r="357" spans="1:7" hidden="1">
      <c r="A357" t="str">
        <f t="shared" si="5"/>
        <v>NOVO-07NM-Plus-X3</v>
      </c>
      <c r="B357" t="s">
        <v>29</v>
      </c>
      <c r="C357" t="s">
        <v>53</v>
      </c>
      <c r="E357" t="s">
        <v>10</v>
      </c>
      <c r="F357" t="s">
        <v>140</v>
      </c>
      <c r="G357" s="11">
        <v>21864.674318679143</v>
      </c>
    </row>
    <row r="358" spans="1:7" hidden="1">
      <c r="A358" t="str">
        <f t="shared" si="5"/>
        <v>NOVO-07DA-Standard-X3</v>
      </c>
      <c r="B358" t="s">
        <v>29</v>
      </c>
      <c r="C358" t="s">
        <v>58</v>
      </c>
      <c r="D358" t="s">
        <v>256</v>
      </c>
      <c r="E358" t="s">
        <v>33</v>
      </c>
      <c r="F358" t="s">
        <v>140</v>
      </c>
      <c r="G358" s="11">
        <v>15901.58132267574</v>
      </c>
    </row>
    <row r="359" spans="1:7" hidden="1">
      <c r="A359" t="str">
        <f t="shared" si="5"/>
        <v>NOVO-07DB-Plus-X3</v>
      </c>
      <c r="B359" t="s">
        <v>29</v>
      </c>
      <c r="C359" t="s">
        <v>62</v>
      </c>
      <c r="E359" t="s">
        <v>10</v>
      </c>
      <c r="F359" t="s">
        <v>140</v>
      </c>
      <c r="G359" s="11">
        <v>32235.270833467672</v>
      </c>
    </row>
    <row r="360" spans="1:7" hidden="1">
      <c r="A360" t="str">
        <f t="shared" si="5"/>
        <v>NOVO-07DD-Standard-X3</v>
      </c>
      <c r="B360" t="s">
        <v>29</v>
      </c>
      <c r="C360" t="s">
        <v>67</v>
      </c>
      <c r="D360" t="s">
        <v>257</v>
      </c>
      <c r="E360" t="s">
        <v>33</v>
      </c>
      <c r="F360" t="s">
        <v>140</v>
      </c>
      <c r="G360" s="11">
        <v>10629.861427658239</v>
      </c>
    </row>
    <row r="361" spans="1:7" hidden="1">
      <c r="A361" t="str">
        <f t="shared" si="5"/>
        <v>NOVO-07DE-Plus-X3</v>
      </c>
      <c r="B361" t="s">
        <v>29</v>
      </c>
      <c r="C361" t="s">
        <v>71</v>
      </c>
      <c r="E361" t="s">
        <v>10</v>
      </c>
      <c r="F361" t="s">
        <v>140</v>
      </c>
      <c r="G361" s="11">
        <v>22037.517593925619</v>
      </c>
    </row>
    <row r="362" spans="1:7" hidden="1">
      <c r="A362" t="str">
        <f t="shared" si="5"/>
        <v>NOVO-07NX-Standard-X3</v>
      </c>
      <c r="B362" t="s">
        <v>29</v>
      </c>
      <c r="C362" t="s">
        <v>76</v>
      </c>
      <c r="D362" t="s">
        <v>258</v>
      </c>
      <c r="E362" t="s">
        <v>33</v>
      </c>
      <c r="F362" t="s">
        <v>140</v>
      </c>
      <c r="G362" s="11">
        <v>12790.402368239183</v>
      </c>
    </row>
    <row r="363" spans="1:7" hidden="1">
      <c r="A363" t="str">
        <f t="shared" si="5"/>
        <v>NOVO-07NY-Plus-X3</v>
      </c>
      <c r="B363" t="s">
        <v>29</v>
      </c>
      <c r="C363" t="s">
        <v>80</v>
      </c>
      <c r="E363" t="s">
        <v>10</v>
      </c>
      <c r="F363" t="s">
        <v>140</v>
      </c>
      <c r="G363" s="11">
        <v>26358.599475087503</v>
      </c>
    </row>
    <row r="364" spans="1:7" hidden="1">
      <c r="A364" t="str">
        <f t="shared" si="5"/>
        <v>NOVO-07N1-Standard-X3</v>
      </c>
      <c r="B364" t="s">
        <v>29</v>
      </c>
      <c r="C364" t="s">
        <v>85</v>
      </c>
      <c r="D364" t="s">
        <v>259</v>
      </c>
      <c r="E364" t="s">
        <v>33</v>
      </c>
      <c r="F364" t="s">
        <v>140</v>
      </c>
      <c r="G364" s="11">
        <v>15988.002960298978</v>
      </c>
    </row>
    <row r="365" spans="1:7" hidden="1">
      <c r="A365" t="str">
        <f t="shared" si="5"/>
        <v>NOVO-07N2-Plus-X3</v>
      </c>
      <c r="B365" t="s">
        <v>29</v>
      </c>
      <c r="C365" t="s">
        <v>89</v>
      </c>
      <c r="E365" t="s">
        <v>10</v>
      </c>
      <c r="F365" t="s">
        <v>140</v>
      </c>
      <c r="G365" s="11">
        <v>32408.114108714144</v>
      </c>
    </row>
    <row r="366" spans="1:7" hidden="1">
      <c r="A366" t="str">
        <f t="shared" si="5"/>
        <v>NOVO-07N4-Standard-X3</v>
      </c>
      <c r="B366" t="s">
        <v>29</v>
      </c>
      <c r="C366" t="s">
        <v>94</v>
      </c>
      <c r="D366" t="s">
        <v>260</v>
      </c>
      <c r="E366" t="s">
        <v>33</v>
      </c>
      <c r="F366" t="s">
        <v>140</v>
      </c>
      <c r="G366" s="11">
        <v>21173.301217693243</v>
      </c>
    </row>
    <row r="367" spans="1:7" hidden="1">
      <c r="A367" t="str">
        <f t="shared" si="5"/>
        <v>NOVO-07N5-Plus-X3</v>
      </c>
      <c r="B367" t="s">
        <v>29</v>
      </c>
      <c r="C367" t="s">
        <v>98</v>
      </c>
      <c r="E367" t="s">
        <v>10</v>
      </c>
      <c r="F367" t="s">
        <v>140</v>
      </c>
      <c r="G367" s="11">
        <v>39581.110031442877</v>
      </c>
    </row>
    <row r="368" spans="1:7" hidden="1">
      <c r="A368" t="str">
        <f t="shared" si="5"/>
        <v>NOVO-07NW-Standard-X3</v>
      </c>
      <c r="B368" t="s">
        <v>29</v>
      </c>
      <c r="C368" t="s">
        <v>103</v>
      </c>
      <c r="D368" t="s">
        <v>261</v>
      </c>
      <c r="E368" t="s">
        <v>33</v>
      </c>
      <c r="F368" t="s">
        <v>140</v>
      </c>
      <c r="G368" s="11">
        <v>10802.704702904715</v>
      </c>
    </row>
    <row r="369" spans="1:7" hidden="1">
      <c r="A369" t="str">
        <f t="shared" si="5"/>
        <v>NOVO-07NK-Plus-X3</v>
      </c>
      <c r="B369" t="s">
        <v>29</v>
      </c>
      <c r="C369" t="s">
        <v>107</v>
      </c>
      <c r="E369" t="s">
        <v>10</v>
      </c>
      <c r="F369" t="s">
        <v>140</v>
      </c>
      <c r="G369" s="11">
        <v>22296.782506795331</v>
      </c>
    </row>
    <row r="370" spans="1:7" hidden="1">
      <c r="A370" t="str">
        <f t="shared" si="5"/>
        <v>NOVO-07N7-Standard-X3</v>
      </c>
      <c r="B370" t="s">
        <v>29</v>
      </c>
      <c r="C370" t="s">
        <v>112</v>
      </c>
      <c r="D370" t="s">
        <v>262</v>
      </c>
      <c r="E370" t="s">
        <v>33</v>
      </c>
      <c r="F370" t="s">
        <v>140</v>
      </c>
      <c r="G370" s="11">
        <v>13049.667281108896</v>
      </c>
    </row>
    <row r="371" spans="1:7" hidden="1">
      <c r="A371" t="str">
        <f t="shared" si="5"/>
        <v>NOVO-07N8-Plus-X3</v>
      </c>
      <c r="B371" t="s">
        <v>29</v>
      </c>
      <c r="C371" t="s">
        <v>116</v>
      </c>
      <c r="E371" t="s">
        <v>10</v>
      </c>
      <c r="F371" t="s">
        <v>140</v>
      </c>
      <c r="G371" s="11">
        <v>26790.707663203695</v>
      </c>
    </row>
    <row r="372" spans="1:7" hidden="1">
      <c r="A372" t="str">
        <f t="shared" si="5"/>
        <v>NOVO-07NH-Standard-X3</v>
      </c>
      <c r="B372" t="s">
        <v>29</v>
      </c>
      <c r="C372" t="s">
        <v>121</v>
      </c>
      <c r="D372" t="s">
        <v>263</v>
      </c>
      <c r="E372" t="s">
        <v>33</v>
      </c>
      <c r="F372" t="s">
        <v>140</v>
      </c>
      <c r="G372" s="11">
        <v>16074.424597922216</v>
      </c>
    </row>
    <row r="373" spans="1:7" hidden="1">
      <c r="A373" t="str">
        <f t="shared" si="5"/>
        <v>NOVO-07NA-Plus-X3</v>
      </c>
      <c r="B373" t="s">
        <v>29</v>
      </c>
      <c r="C373" t="s">
        <v>125</v>
      </c>
      <c r="E373" t="s">
        <v>10</v>
      </c>
      <c r="F373" t="s">
        <v>140</v>
      </c>
      <c r="G373" s="11">
        <v>32494.535746337384</v>
      </c>
    </row>
    <row r="374" spans="1:7" hidden="1">
      <c r="A374" t="str">
        <f t="shared" si="5"/>
        <v>NOVO-07UA-Standard-X3</v>
      </c>
      <c r="B374" t="s">
        <v>29</v>
      </c>
      <c r="C374" t="s">
        <v>130</v>
      </c>
      <c r="D374" t="s">
        <v>264</v>
      </c>
      <c r="E374" t="s">
        <v>33</v>
      </c>
      <c r="F374" t="s">
        <v>140</v>
      </c>
      <c r="G374" s="11">
        <v>21778.252681055907</v>
      </c>
    </row>
    <row r="375" spans="1:7" hidden="1">
      <c r="A375" t="str">
        <f t="shared" si="5"/>
        <v>NOVO-07UB-Plus-X3</v>
      </c>
      <c r="B375" t="s">
        <v>29</v>
      </c>
      <c r="C375" t="s">
        <v>133</v>
      </c>
      <c r="E375" t="s">
        <v>10</v>
      </c>
      <c r="F375" t="s">
        <v>140</v>
      </c>
      <c r="G375" s="11">
        <v>40618.169682921733</v>
      </c>
    </row>
    <row r="376" spans="1:7" hidden="1">
      <c r="A376" t="str">
        <f t="shared" si="5"/>
        <v>NOVO-07US-Standard-X4</v>
      </c>
      <c r="B376" t="s">
        <v>29</v>
      </c>
      <c r="C376" t="s">
        <v>34</v>
      </c>
      <c r="D376" t="s">
        <v>254</v>
      </c>
      <c r="E376" t="s">
        <v>33</v>
      </c>
      <c r="F376" t="s">
        <v>149</v>
      </c>
      <c r="G376" s="11">
        <v>5617.4064455104517</v>
      </c>
    </row>
    <row r="377" spans="1:7" hidden="1">
      <c r="A377" t="str">
        <f t="shared" si="5"/>
        <v>NOVO-07D7-Plus-X4</v>
      </c>
      <c r="B377" t="s">
        <v>29</v>
      </c>
      <c r="C377" t="s">
        <v>42</v>
      </c>
      <c r="E377" t="s">
        <v>10</v>
      </c>
      <c r="F377" t="s">
        <v>149</v>
      </c>
      <c r="G377" s="11">
        <v>10284.174877165289</v>
      </c>
    </row>
    <row r="378" spans="1:7" hidden="1">
      <c r="A378" t="str">
        <f t="shared" si="5"/>
        <v>NOVO-07NG-Standard-X4</v>
      </c>
      <c r="B378" t="s">
        <v>29</v>
      </c>
      <c r="C378" t="s">
        <v>49</v>
      </c>
      <c r="D378" t="s">
        <v>255</v>
      </c>
      <c r="E378" t="s">
        <v>33</v>
      </c>
      <c r="F378" t="s">
        <v>149</v>
      </c>
      <c r="G378" s="11">
        <v>10543.439790035001</v>
      </c>
    </row>
    <row r="379" spans="1:7" hidden="1">
      <c r="A379" t="str">
        <f t="shared" si="5"/>
        <v>NOVO-07NM-Plus-X4</v>
      </c>
      <c r="B379" t="s">
        <v>29</v>
      </c>
      <c r="C379" t="s">
        <v>53</v>
      </c>
      <c r="E379" t="s">
        <v>10</v>
      </c>
      <c r="F379" t="s">
        <v>149</v>
      </c>
      <c r="G379" s="11">
        <v>21864.674318679143</v>
      </c>
    </row>
    <row r="380" spans="1:7" hidden="1">
      <c r="A380" t="str">
        <f t="shared" si="5"/>
        <v>NOVO-07DA-Standard-X4</v>
      </c>
      <c r="B380" t="s">
        <v>29</v>
      </c>
      <c r="C380" t="s">
        <v>58</v>
      </c>
      <c r="D380" t="s">
        <v>256</v>
      </c>
      <c r="E380" t="s">
        <v>33</v>
      </c>
      <c r="F380" t="s">
        <v>149</v>
      </c>
      <c r="G380" s="11">
        <v>15901.58132267574</v>
      </c>
    </row>
    <row r="381" spans="1:7" hidden="1">
      <c r="A381" t="str">
        <f t="shared" si="5"/>
        <v>NOVO-07DB-Plus-X4</v>
      </c>
      <c r="B381" t="s">
        <v>29</v>
      </c>
      <c r="C381" t="s">
        <v>62</v>
      </c>
      <c r="E381" t="s">
        <v>10</v>
      </c>
      <c r="F381" t="s">
        <v>149</v>
      </c>
      <c r="G381" s="11">
        <v>32235.270833467672</v>
      </c>
    </row>
    <row r="382" spans="1:7" hidden="1">
      <c r="A382" t="str">
        <f t="shared" si="5"/>
        <v>NOVO-07DD-Standard-X4</v>
      </c>
      <c r="B382" t="s">
        <v>29</v>
      </c>
      <c r="C382" t="s">
        <v>67</v>
      </c>
      <c r="D382" t="s">
        <v>257</v>
      </c>
      <c r="E382" t="s">
        <v>33</v>
      </c>
      <c r="F382" t="s">
        <v>149</v>
      </c>
      <c r="G382" s="11">
        <v>10629.861427658239</v>
      </c>
    </row>
    <row r="383" spans="1:7" hidden="1">
      <c r="A383" t="str">
        <f t="shared" si="5"/>
        <v>NOVO-07DE-Plus-X4</v>
      </c>
      <c r="B383" t="s">
        <v>29</v>
      </c>
      <c r="C383" t="s">
        <v>71</v>
      </c>
      <c r="E383" t="s">
        <v>10</v>
      </c>
      <c r="F383" t="s">
        <v>149</v>
      </c>
      <c r="G383" s="11">
        <v>22037.517593925619</v>
      </c>
    </row>
    <row r="384" spans="1:7" hidden="1">
      <c r="A384" t="str">
        <f t="shared" si="5"/>
        <v>NOVO-07NX-Standard-X4</v>
      </c>
      <c r="B384" t="s">
        <v>29</v>
      </c>
      <c r="C384" t="s">
        <v>76</v>
      </c>
      <c r="D384" t="s">
        <v>258</v>
      </c>
      <c r="E384" t="s">
        <v>33</v>
      </c>
      <c r="F384" t="s">
        <v>149</v>
      </c>
      <c r="G384" s="11">
        <v>12790.402368239183</v>
      </c>
    </row>
    <row r="385" spans="1:7" hidden="1">
      <c r="A385" t="str">
        <f t="shared" si="5"/>
        <v>NOVO-07NY-Plus-X4</v>
      </c>
      <c r="B385" t="s">
        <v>29</v>
      </c>
      <c r="C385" t="s">
        <v>80</v>
      </c>
      <c r="E385" t="s">
        <v>10</v>
      </c>
      <c r="F385" t="s">
        <v>149</v>
      </c>
      <c r="G385" s="11">
        <v>26358.599475087503</v>
      </c>
    </row>
    <row r="386" spans="1:7" hidden="1">
      <c r="A386" t="str">
        <f t="shared" ref="A386:A449" si="6">B386&amp;"-"&amp;C386&amp;"-"&amp;E386&amp;"-"&amp;F386</f>
        <v>NOVO-07N1-Standard-X4</v>
      </c>
      <c r="B386" t="s">
        <v>29</v>
      </c>
      <c r="C386" t="s">
        <v>85</v>
      </c>
      <c r="D386" t="s">
        <v>259</v>
      </c>
      <c r="E386" t="s">
        <v>33</v>
      </c>
      <c r="F386" t="s">
        <v>149</v>
      </c>
      <c r="G386" s="11">
        <v>15988.002960298978</v>
      </c>
    </row>
    <row r="387" spans="1:7" hidden="1">
      <c r="A387" t="str">
        <f t="shared" si="6"/>
        <v>NOVO-07N2-Plus-X4</v>
      </c>
      <c r="B387" t="s">
        <v>29</v>
      </c>
      <c r="C387" t="s">
        <v>89</v>
      </c>
      <c r="E387" t="s">
        <v>10</v>
      </c>
      <c r="F387" t="s">
        <v>149</v>
      </c>
      <c r="G387" s="11">
        <v>32408.114108714144</v>
      </c>
    </row>
    <row r="388" spans="1:7" hidden="1">
      <c r="A388" t="str">
        <f t="shared" si="6"/>
        <v>NOVO-07N4-Standard-X4</v>
      </c>
      <c r="B388" t="s">
        <v>29</v>
      </c>
      <c r="C388" t="s">
        <v>94</v>
      </c>
      <c r="D388" t="s">
        <v>260</v>
      </c>
      <c r="E388" t="s">
        <v>33</v>
      </c>
      <c r="F388" t="s">
        <v>149</v>
      </c>
      <c r="G388" s="11">
        <v>21173.301217693243</v>
      </c>
    </row>
    <row r="389" spans="1:7" hidden="1">
      <c r="A389" t="str">
        <f t="shared" si="6"/>
        <v>NOVO-07N5-Plus-X4</v>
      </c>
      <c r="B389" t="s">
        <v>29</v>
      </c>
      <c r="C389" t="s">
        <v>98</v>
      </c>
      <c r="E389" t="s">
        <v>10</v>
      </c>
      <c r="F389" t="s">
        <v>149</v>
      </c>
      <c r="G389" s="11">
        <v>39581.110031442877</v>
      </c>
    </row>
    <row r="390" spans="1:7" hidden="1">
      <c r="A390" t="str">
        <f t="shared" si="6"/>
        <v>NOVO-07NW-Standard-X4</v>
      </c>
      <c r="B390" t="s">
        <v>29</v>
      </c>
      <c r="C390" t="s">
        <v>103</v>
      </c>
      <c r="D390" t="s">
        <v>261</v>
      </c>
      <c r="E390" t="s">
        <v>33</v>
      </c>
      <c r="F390" t="s">
        <v>149</v>
      </c>
      <c r="G390" s="11">
        <v>10802.704702904715</v>
      </c>
    </row>
    <row r="391" spans="1:7" hidden="1">
      <c r="A391" t="str">
        <f t="shared" si="6"/>
        <v>NOVO-07NK-Plus-X4</v>
      </c>
      <c r="B391" t="s">
        <v>29</v>
      </c>
      <c r="C391" t="s">
        <v>107</v>
      </c>
      <c r="E391" t="s">
        <v>10</v>
      </c>
      <c r="F391" t="s">
        <v>149</v>
      </c>
      <c r="G391" s="11">
        <v>22296.782506795331</v>
      </c>
    </row>
    <row r="392" spans="1:7" hidden="1">
      <c r="A392" t="str">
        <f t="shared" si="6"/>
        <v>NOVO-07N7-Standard-X4</v>
      </c>
      <c r="B392" t="s">
        <v>29</v>
      </c>
      <c r="C392" t="s">
        <v>112</v>
      </c>
      <c r="D392" t="s">
        <v>262</v>
      </c>
      <c r="E392" t="s">
        <v>33</v>
      </c>
      <c r="F392" t="s">
        <v>149</v>
      </c>
      <c r="G392" s="11">
        <v>13049.667281108896</v>
      </c>
    </row>
    <row r="393" spans="1:7" hidden="1">
      <c r="A393" t="str">
        <f t="shared" si="6"/>
        <v>NOVO-07N8-Plus-X4</v>
      </c>
      <c r="B393" t="s">
        <v>29</v>
      </c>
      <c r="C393" t="s">
        <v>116</v>
      </c>
      <c r="E393" t="s">
        <v>10</v>
      </c>
      <c r="F393" t="s">
        <v>149</v>
      </c>
      <c r="G393" s="11">
        <v>26790.707663203695</v>
      </c>
    </row>
    <row r="394" spans="1:7" hidden="1">
      <c r="A394" t="str">
        <f t="shared" si="6"/>
        <v>NOVO-07NH-Standard-X4</v>
      </c>
      <c r="B394" t="s">
        <v>29</v>
      </c>
      <c r="C394" t="s">
        <v>121</v>
      </c>
      <c r="D394" t="s">
        <v>263</v>
      </c>
      <c r="E394" t="s">
        <v>33</v>
      </c>
      <c r="F394" t="s">
        <v>149</v>
      </c>
      <c r="G394" s="11">
        <v>16074.424597922216</v>
      </c>
    </row>
    <row r="395" spans="1:7" hidden="1">
      <c r="A395" t="str">
        <f t="shared" si="6"/>
        <v>NOVO-07NA-Plus-X4</v>
      </c>
      <c r="B395" t="s">
        <v>29</v>
      </c>
      <c r="C395" t="s">
        <v>125</v>
      </c>
      <c r="E395" t="s">
        <v>10</v>
      </c>
      <c r="F395" t="s">
        <v>149</v>
      </c>
      <c r="G395" s="11">
        <v>32494.535746337384</v>
      </c>
    </row>
    <row r="396" spans="1:7" hidden="1">
      <c r="A396" t="str">
        <f t="shared" si="6"/>
        <v>NOVO-07UA-Standard-X4</v>
      </c>
      <c r="B396" t="s">
        <v>29</v>
      </c>
      <c r="C396" t="s">
        <v>130</v>
      </c>
      <c r="D396" t="s">
        <v>264</v>
      </c>
      <c r="E396" t="s">
        <v>33</v>
      </c>
      <c r="F396" t="s">
        <v>149</v>
      </c>
      <c r="G396" s="11">
        <v>21778.252681055907</v>
      </c>
    </row>
    <row r="397" spans="1:7" hidden="1">
      <c r="A397" t="str">
        <f t="shared" si="6"/>
        <v>NOVO-07UB-Plus-X4</v>
      </c>
      <c r="B397" t="s">
        <v>29</v>
      </c>
      <c r="C397" t="s">
        <v>133</v>
      </c>
      <c r="E397" t="s">
        <v>10</v>
      </c>
      <c r="F397" t="s">
        <v>149</v>
      </c>
      <c r="G397" s="11">
        <v>40618.169682921733</v>
      </c>
    </row>
    <row r="398" spans="1:7" hidden="1">
      <c r="A398" t="str">
        <f t="shared" si="6"/>
        <v>NOVO-07US-Standard-X3M</v>
      </c>
      <c r="B398" t="s">
        <v>29</v>
      </c>
      <c r="C398" t="s">
        <v>34</v>
      </c>
      <c r="D398" t="s">
        <v>254</v>
      </c>
      <c r="E398" t="s">
        <v>33</v>
      </c>
      <c r="F398" t="s">
        <v>144</v>
      </c>
      <c r="G398" s="11">
        <v>13049.667281108896</v>
      </c>
    </row>
    <row r="399" spans="1:7" hidden="1">
      <c r="A399" t="str">
        <f t="shared" si="6"/>
        <v>NOVO-07D7-Plus-X3M</v>
      </c>
      <c r="B399" t="s">
        <v>29</v>
      </c>
      <c r="C399" t="s">
        <v>42</v>
      </c>
      <c r="E399" t="s">
        <v>10</v>
      </c>
      <c r="F399" t="s">
        <v>144</v>
      </c>
      <c r="G399" s="11">
        <v>24370.901809753039</v>
      </c>
    </row>
    <row r="400" spans="1:7" hidden="1">
      <c r="A400" t="str">
        <f t="shared" si="6"/>
        <v>NOVO-07NG-Standard-X3M</v>
      </c>
      <c r="B400" t="s">
        <v>29</v>
      </c>
      <c r="C400" t="s">
        <v>49</v>
      </c>
      <c r="D400" t="s">
        <v>255</v>
      </c>
      <c r="E400" t="s">
        <v>33</v>
      </c>
      <c r="F400" t="s">
        <v>144</v>
      </c>
      <c r="G400" s="11">
        <v>16506.532786038406</v>
      </c>
    </row>
    <row r="401" spans="1:7" hidden="1">
      <c r="A401" t="str">
        <f t="shared" si="6"/>
        <v>NOVO-07NM-Plus-X3M</v>
      </c>
      <c r="B401" t="s">
        <v>29</v>
      </c>
      <c r="C401" t="s">
        <v>53</v>
      </c>
      <c r="E401" t="s">
        <v>10</v>
      </c>
      <c r="F401" t="s">
        <v>144</v>
      </c>
      <c r="G401" s="11">
        <v>31716.741007728244</v>
      </c>
    </row>
    <row r="402" spans="1:7" hidden="1">
      <c r="A402" t="str">
        <f t="shared" si="6"/>
        <v>NOVO-07DA-Standard-X3M</v>
      </c>
      <c r="B402" t="s">
        <v>29</v>
      </c>
      <c r="C402" t="s">
        <v>58</v>
      </c>
      <c r="D402" t="s">
        <v>256</v>
      </c>
      <c r="E402" t="s">
        <v>33</v>
      </c>
      <c r="F402" t="s">
        <v>144</v>
      </c>
      <c r="G402" s="11">
        <v>27914.188952305783</v>
      </c>
    </row>
    <row r="403" spans="1:7" hidden="1">
      <c r="A403" t="str">
        <f t="shared" si="6"/>
        <v>NOVO-07DB-Plus-X3M</v>
      </c>
      <c r="B403" t="s">
        <v>29</v>
      </c>
      <c r="C403" t="s">
        <v>62</v>
      </c>
      <c r="E403" t="s">
        <v>10</v>
      </c>
      <c r="F403" t="s">
        <v>144</v>
      </c>
      <c r="G403" s="11">
        <v>45284.938114576566</v>
      </c>
    </row>
    <row r="404" spans="1:7" hidden="1">
      <c r="A404" t="str">
        <f t="shared" si="6"/>
        <v>NOVO-07DD-Standard-X3M</v>
      </c>
      <c r="B404" t="s">
        <v>29</v>
      </c>
      <c r="C404" t="s">
        <v>67</v>
      </c>
      <c r="D404" t="s">
        <v>257</v>
      </c>
      <c r="E404" t="s">
        <v>33</v>
      </c>
      <c r="F404" t="s">
        <v>144</v>
      </c>
      <c r="G404" s="11">
        <v>17716.435712763734</v>
      </c>
    </row>
    <row r="405" spans="1:7" hidden="1">
      <c r="A405" t="str">
        <f t="shared" si="6"/>
        <v>NOVO-07DE-Plus-X3M</v>
      </c>
      <c r="B405" t="s">
        <v>29</v>
      </c>
      <c r="C405" t="s">
        <v>71</v>
      </c>
      <c r="E405" t="s">
        <v>10</v>
      </c>
      <c r="F405" t="s">
        <v>144</v>
      </c>
      <c r="G405" s="11">
        <v>35692.136338397177</v>
      </c>
    </row>
    <row r="406" spans="1:7" hidden="1">
      <c r="A406" t="str">
        <f t="shared" si="6"/>
        <v>NOVO-07NX-Standard-X3M</v>
      </c>
      <c r="B406" t="s">
        <v>29</v>
      </c>
      <c r="C406" t="s">
        <v>76</v>
      </c>
      <c r="D406" t="s">
        <v>258</v>
      </c>
      <c r="E406" t="s">
        <v>33</v>
      </c>
      <c r="F406" t="s">
        <v>144</v>
      </c>
      <c r="G406" s="11">
        <v>25667.226374101603</v>
      </c>
    </row>
    <row r="407" spans="1:7" hidden="1">
      <c r="A407" t="str">
        <f t="shared" si="6"/>
        <v>NOVO-07NY-Plus-X3M</v>
      </c>
      <c r="B407" t="s">
        <v>29</v>
      </c>
      <c r="C407" t="s">
        <v>80</v>
      </c>
      <c r="E407" t="s">
        <v>10</v>
      </c>
      <c r="F407" t="s">
        <v>144</v>
      </c>
      <c r="G407" s="11">
        <v>44593.565013590662</v>
      </c>
    </row>
    <row r="408" spans="1:7" hidden="1">
      <c r="A408" t="str">
        <f t="shared" si="6"/>
        <v>NOVO-07N1-Standard-X3M</v>
      </c>
      <c r="B408" t="s">
        <v>29</v>
      </c>
      <c r="C408" t="s">
        <v>85</v>
      </c>
      <c r="D408" t="s">
        <v>259</v>
      </c>
      <c r="E408" t="s">
        <v>33</v>
      </c>
      <c r="F408" t="s">
        <v>144</v>
      </c>
      <c r="G408" s="11">
        <v>32062.427558221196</v>
      </c>
    </row>
    <row r="409" spans="1:7" hidden="1">
      <c r="A409" t="str">
        <f t="shared" si="6"/>
        <v>NOVO-07N2-Plus-X3M</v>
      </c>
      <c r="B409" t="s">
        <v>29</v>
      </c>
      <c r="C409" t="s">
        <v>89</v>
      </c>
      <c r="E409" t="s">
        <v>10</v>
      </c>
      <c r="F409" t="s">
        <v>144</v>
      </c>
      <c r="G409" s="11">
        <v>53494.993688784147</v>
      </c>
    </row>
    <row r="410" spans="1:7" hidden="1">
      <c r="A410" t="str">
        <f t="shared" si="6"/>
        <v>NOVO-07N4-Standard-X3M</v>
      </c>
      <c r="B410" t="s">
        <v>29</v>
      </c>
      <c r="C410" t="s">
        <v>94</v>
      </c>
      <c r="D410" t="s">
        <v>260</v>
      </c>
      <c r="E410" t="s">
        <v>33</v>
      </c>
      <c r="F410" t="s">
        <v>144</v>
      </c>
      <c r="G410" s="11">
        <v>34222.96849880214</v>
      </c>
    </row>
    <row r="411" spans="1:7" hidden="1">
      <c r="A411" t="str">
        <f t="shared" si="6"/>
        <v>NOVO-07N5-Plus-X3M</v>
      </c>
      <c r="B411" t="s">
        <v>29</v>
      </c>
      <c r="C411" t="s">
        <v>98</v>
      </c>
      <c r="E411" t="s">
        <v>10</v>
      </c>
      <c r="F411" t="s">
        <v>144</v>
      </c>
      <c r="G411" s="11">
        <v>62914.952189717063</v>
      </c>
    </row>
    <row r="412" spans="1:7" hidden="1">
      <c r="A412" t="str">
        <f t="shared" si="6"/>
        <v>NOVO-07NW-Standard-X3M</v>
      </c>
      <c r="B412" t="s">
        <v>29</v>
      </c>
      <c r="C412" t="s">
        <v>103</v>
      </c>
      <c r="D412" t="s">
        <v>261</v>
      </c>
      <c r="E412" t="s">
        <v>33</v>
      </c>
      <c r="F412" t="s">
        <v>144</v>
      </c>
      <c r="G412" s="11">
        <v>19099.181914735538</v>
      </c>
    </row>
    <row r="413" spans="1:7" hidden="1">
      <c r="A413" t="str">
        <f t="shared" si="6"/>
        <v>NOVO-07NK-Plus-X3M</v>
      </c>
      <c r="B413" t="s">
        <v>29</v>
      </c>
      <c r="C413" t="s">
        <v>107</v>
      </c>
      <c r="E413" t="s">
        <v>10</v>
      </c>
      <c r="F413" t="s">
        <v>144</v>
      </c>
      <c r="G413" s="11">
        <v>38889.736930456973</v>
      </c>
    </row>
    <row r="414" spans="1:7" hidden="1">
      <c r="A414" t="str">
        <f t="shared" si="6"/>
        <v>NOVO-07N7-Standard-X3M</v>
      </c>
      <c r="B414" t="s">
        <v>29</v>
      </c>
      <c r="C414" t="s">
        <v>112</v>
      </c>
      <c r="D414" t="s">
        <v>262</v>
      </c>
      <c r="E414" t="s">
        <v>33</v>
      </c>
      <c r="F414" t="s">
        <v>144</v>
      </c>
      <c r="G414" s="11">
        <v>31457.476094858532</v>
      </c>
    </row>
    <row r="415" spans="1:7" hidden="1">
      <c r="A415" t="str">
        <f t="shared" si="6"/>
        <v>NOVO-07N8-Plus-X3M</v>
      </c>
      <c r="B415" t="s">
        <v>29</v>
      </c>
      <c r="C415" t="s">
        <v>116</v>
      </c>
      <c r="E415" t="s">
        <v>10</v>
      </c>
      <c r="F415" t="s">
        <v>144</v>
      </c>
      <c r="G415" s="11">
        <v>54186.366789770051</v>
      </c>
    </row>
    <row r="416" spans="1:7" hidden="1">
      <c r="A416" t="str">
        <f t="shared" si="6"/>
        <v>NOVO-07NH-Standard-X3M</v>
      </c>
      <c r="B416" t="s">
        <v>29</v>
      </c>
      <c r="C416" t="s">
        <v>121</v>
      </c>
      <c r="D416" t="s">
        <v>263</v>
      </c>
      <c r="E416" t="s">
        <v>33</v>
      </c>
      <c r="F416" t="s">
        <v>144</v>
      </c>
      <c r="G416" s="11">
        <v>34136.546861178897</v>
      </c>
    </row>
    <row r="417" spans="1:7" hidden="1">
      <c r="A417" t="str">
        <f t="shared" si="6"/>
        <v>NOVO-07NA-Plus-X3M</v>
      </c>
      <c r="B417" t="s">
        <v>29</v>
      </c>
      <c r="C417" t="s">
        <v>125</v>
      </c>
      <c r="E417" t="s">
        <v>10</v>
      </c>
      <c r="F417" t="s">
        <v>144</v>
      </c>
      <c r="G417" s="11">
        <v>56001.221179858047</v>
      </c>
    </row>
    <row r="418" spans="1:7" hidden="1">
      <c r="A418" t="str">
        <f t="shared" si="6"/>
        <v>NOVO-07UA-Standard-X3M</v>
      </c>
      <c r="B418" t="s">
        <v>29</v>
      </c>
      <c r="C418" t="s">
        <v>130</v>
      </c>
      <c r="D418" t="s">
        <v>264</v>
      </c>
      <c r="E418" t="s">
        <v>33</v>
      </c>
      <c r="F418" t="s">
        <v>144</v>
      </c>
      <c r="G418" s="11">
        <v>40186.061494805537</v>
      </c>
    </row>
    <row r="419" spans="1:7" hidden="1">
      <c r="A419" t="str">
        <f t="shared" si="6"/>
        <v>NOVO-07UB-Plus-X3M</v>
      </c>
      <c r="B419" t="s">
        <v>29</v>
      </c>
      <c r="C419" t="s">
        <v>133</v>
      </c>
      <c r="E419" t="s">
        <v>10</v>
      </c>
      <c r="F419" t="s">
        <v>144</v>
      </c>
      <c r="G419" s="11">
        <v>74495.451631230913</v>
      </c>
    </row>
    <row r="420" spans="1:7" hidden="1">
      <c r="A420" t="str">
        <f t="shared" si="6"/>
        <v>NOVO-07US-Standard-X4M</v>
      </c>
      <c r="B420" t="s">
        <v>29</v>
      </c>
      <c r="C420" t="s">
        <v>34</v>
      </c>
      <c r="D420" t="s">
        <v>254</v>
      </c>
      <c r="E420" t="s">
        <v>33</v>
      </c>
      <c r="F420" t="s">
        <v>153</v>
      </c>
      <c r="G420" s="11">
        <v>13049.667281108896</v>
      </c>
    </row>
    <row r="421" spans="1:7" hidden="1">
      <c r="A421" t="str">
        <f t="shared" si="6"/>
        <v>NOVO-07D7-Plus-X4M</v>
      </c>
      <c r="B421" t="s">
        <v>29</v>
      </c>
      <c r="C421" t="s">
        <v>42</v>
      </c>
      <c r="E421" t="s">
        <v>10</v>
      </c>
      <c r="F421" t="s">
        <v>153</v>
      </c>
      <c r="G421" s="11">
        <v>24370.901809753039</v>
      </c>
    </row>
    <row r="422" spans="1:7" hidden="1">
      <c r="A422" t="str">
        <f t="shared" si="6"/>
        <v>NOVO-07NG-Standard-X4M</v>
      </c>
      <c r="B422" t="s">
        <v>29</v>
      </c>
      <c r="C422" t="s">
        <v>49</v>
      </c>
      <c r="D422" t="s">
        <v>255</v>
      </c>
      <c r="E422" t="s">
        <v>33</v>
      </c>
      <c r="F422" t="s">
        <v>153</v>
      </c>
      <c r="G422" s="11">
        <v>16506.532786038406</v>
      </c>
    </row>
    <row r="423" spans="1:7" hidden="1">
      <c r="A423" t="str">
        <f t="shared" si="6"/>
        <v>NOVO-07NM-Plus-X4M</v>
      </c>
      <c r="B423" t="s">
        <v>29</v>
      </c>
      <c r="C423" t="s">
        <v>53</v>
      </c>
      <c r="E423" t="s">
        <v>10</v>
      </c>
      <c r="F423" t="s">
        <v>153</v>
      </c>
      <c r="G423" s="11">
        <v>31716.741007728244</v>
      </c>
    </row>
    <row r="424" spans="1:7" hidden="1">
      <c r="A424" t="str">
        <f t="shared" si="6"/>
        <v>NOVO-07DA-Standard-X4M</v>
      </c>
      <c r="B424" t="s">
        <v>29</v>
      </c>
      <c r="C424" t="s">
        <v>58</v>
      </c>
      <c r="D424" t="s">
        <v>256</v>
      </c>
      <c r="E424" t="s">
        <v>33</v>
      </c>
      <c r="F424" t="s">
        <v>153</v>
      </c>
      <c r="G424" s="11">
        <v>27914.188952305783</v>
      </c>
    </row>
    <row r="425" spans="1:7" hidden="1">
      <c r="A425" t="str">
        <f t="shared" si="6"/>
        <v>NOVO-07DB-Plus-X4M</v>
      </c>
      <c r="B425" t="s">
        <v>29</v>
      </c>
      <c r="C425" t="s">
        <v>62</v>
      </c>
      <c r="E425" t="s">
        <v>10</v>
      </c>
      <c r="F425" t="s">
        <v>153</v>
      </c>
      <c r="G425" s="11">
        <v>45284.938114576566</v>
      </c>
    </row>
    <row r="426" spans="1:7" hidden="1">
      <c r="A426" t="str">
        <f t="shared" si="6"/>
        <v>NOVO-07DD-Standard-X4M</v>
      </c>
      <c r="B426" t="s">
        <v>29</v>
      </c>
      <c r="C426" t="s">
        <v>67</v>
      </c>
      <c r="D426" t="s">
        <v>257</v>
      </c>
      <c r="E426" t="s">
        <v>33</v>
      </c>
      <c r="F426" t="s">
        <v>153</v>
      </c>
      <c r="G426" s="11">
        <v>17716.435712763734</v>
      </c>
    </row>
    <row r="427" spans="1:7" hidden="1">
      <c r="A427" t="str">
        <f t="shared" si="6"/>
        <v>NOVO-07DE-Plus-X4M</v>
      </c>
      <c r="B427" t="s">
        <v>29</v>
      </c>
      <c r="C427" t="s">
        <v>71</v>
      </c>
      <c r="E427" t="s">
        <v>10</v>
      </c>
      <c r="F427" t="s">
        <v>153</v>
      </c>
      <c r="G427" s="11">
        <v>35692.136338397177</v>
      </c>
    </row>
    <row r="428" spans="1:7" hidden="1">
      <c r="A428" t="str">
        <f t="shared" si="6"/>
        <v>NOVO-07NX-Standard-X4M</v>
      </c>
      <c r="B428" t="s">
        <v>29</v>
      </c>
      <c r="C428" t="s">
        <v>76</v>
      </c>
      <c r="D428" t="s">
        <v>258</v>
      </c>
      <c r="E428" t="s">
        <v>33</v>
      </c>
      <c r="F428" t="s">
        <v>153</v>
      </c>
      <c r="G428" s="11">
        <v>25667.226374101603</v>
      </c>
    </row>
    <row r="429" spans="1:7" hidden="1">
      <c r="A429" t="str">
        <f t="shared" si="6"/>
        <v>NOVO-07NY-Plus-X4M</v>
      </c>
      <c r="B429" t="s">
        <v>29</v>
      </c>
      <c r="C429" t="s">
        <v>80</v>
      </c>
      <c r="E429" t="s">
        <v>10</v>
      </c>
      <c r="F429" t="s">
        <v>153</v>
      </c>
      <c r="G429" s="11">
        <v>44593.565013590662</v>
      </c>
    </row>
    <row r="430" spans="1:7" hidden="1">
      <c r="A430" t="str">
        <f t="shared" si="6"/>
        <v>NOVO-07N1-Standard-X4M</v>
      </c>
      <c r="B430" t="s">
        <v>29</v>
      </c>
      <c r="C430" t="s">
        <v>85</v>
      </c>
      <c r="D430" t="s">
        <v>259</v>
      </c>
      <c r="E430" t="s">
        <v>33</v>
      </c>
      <c r="F430" t="s">
        <v>153</v>
      </c>
      <c r="G430" s="11">
        <v>32062.427558221196</v>
      </c>
    </row>
    <row r="431" spans="1:7" hidden="1">
      <c r="A431" t="str">
        <f t="shared" si="6"/>
        <v>NOVO-07N2-Plus-X4M</v>
      </c>
      <c r="B431" t="s">
        <v>29</v>
      </c>
      <c r="C431" t="s">
        <v>89</v>
      </c>
      <c r="E431" t="s">
        <v>10</v>
      </c>
      <c r="F431" t="s">
        <v>153</v>
      </c>
      <c r="G431" s="11">
        <v>53494.993688784147</v>
      </c>
    </row>
    <row r="432" spans="1:7" hidden="1">
      <c r="A432" t="str">
        <f t="shared" si="6"/>
        <v>NOVO-07N4-Standard-X4M</v>
      </c>
      <c r="B432" t="s">
        <v>29</v>
      </c>
      <c r="C432" t="s">
        <v>94</v>
      </c>
      <c r="D432" t="s">
        <v>260</v>
      </c>
      <c r="E432" t="s">
        <v>33</v>
      </c>
      <c r="F432" t="s">
        <v>153</v>
      </c>
      <c r="G432" s="11">
        <v>34222.96849880214</v>
      </c>
    </row>
    <row r="433" spans="1:7" hidden="1">
      <c r="A433" t="str">
        <f t="shared" si="6"/>
        <v>NOVO-07N5-Plus-X4M</v>
      </c>
      <c r="B433" t="s">
        <v>29</v>
      </c>
      <c r="C433" t="s">
        <v>98</v>
      </c>
      <c r="E433" t="s">
        <v>10</v>
      </c>
      <c r="F433" t="s">
        <v>153</v>
      </c>
      <c r="G433" s="11">
        <v>62914.952189717063</v>
      </c>
    </row>
    <row r="434" spans="1:7" hidden="1">
      <c r="A434" t="str">
        <f t="shared" si="6"/>
        <v>NOVO-07NW-Standard-X4M</v>
      </c>
      <c r="B434" t="s">
        <v>29</v>
      </c>
      <c r="C434" t="s">
        <v>103</v>
      </c>
      <c r="D434" t="s">
        <v>261</v>
      </c>
      <c r="E434" t="s">
        <v>33</v>
      </c>
      <c r="F434" t="s">
        <v>153</v>
      </c>
      <c r="G434" s="11">
        <v>19099.181914735538</v>
      </c>
    </row>
    <row r="435" spans="1:7" hidden="1">
      <c r="A435" t="str">
        <f t="shared" si="6"/>
        <v>NOVO-07NK-Plus-X4M</v>
      </c>
      <c r="B435" t="s">
        <v>29</v>
      </c>
      <c r="C435" t="s">
        <v>107</v>
      </c>
      <c r="E435" t="s">
        <v>10</v>
      </c>
      <c r="F435" t="s">
        <v>153</v>
      </c>
      <c r="G435" s="11">
        <v>38889.736930456973</v>
      </c>
    </row>
    <row r="436" spans="1:7" hidden="1">
      <c r="A436" t="str">
        <f t="shared" si="6"/>
        <v>NOVO-07N7-Standard-X4M</v>
      </c>
      <c r="B436" t="s">
        <v>29</v>
      </c>
      <c r="C436" t="s">
        <v>112</v>
      </c>
      <c r="D436" t="s">
        <v>262</v>
      </c>
      <c r="E436" t="s">
        <v>33</v>
      </c>
      <c r="F436" t="s">
        <v>153</v>
      </c>
      <c r="G436" s="11">
        <v>31457.476094858532</v>
      </c>
    </row>
    <row r="437" spans="1:7" hidden="1">
      <c r="A437" t="str">
        <f t="shared" si="6"/>
        <v>NOVO-07N8-Plus-X4M</v>
      </c>
      <c r="B437" t="s">
        <v>29</v>
      </c>
      <c r="C437" t="s">
        <v>116</v>
      </c>
      <c r="E437" t="s">
        <v>10</v>
      </c>
      <c r="F437" t="s">
        <v>153</v>
      </c>
      <c r="G437" s="11">
        <v>54186.366789770051</v>
      </c>
    </row>
    <row r="438" spans="1:7" hidden="1">
      <c r="A438" t="str">
        <f t="shared" si="6"/>
        <v>NOVO-07NH-Standard-X4M</v>
      </c>
      <c r="B438" t="s">
        <v>29</v>
      </c>
      <c r="C438" t="s">
        <v>121</v>
      </c>
      <c r="D438" t="s">
        <v>263</v>
      </c>
      <c r="E438" t="s">
        <v>33</v>
      </c>
      <c r="F438" t="s">
        <v>153</v>
      </c>
      <c r="G438" s="11">
        <v>34136.546861178897</v>
      </c>
    </row>
    <row r="439" spans="1:7" hidden="1">
      <c r="A439" t="str">
        <f t="shared" si="6"/>
        <v>NOVO-07NA-Plus-X4M</v>
      </c>
      <c r="B439" t="s">
        <v>29</v>
      </c>
      <c r="C439" t="s">
        <v>125</v>
      </c>
      <c r="E439" t="s">
        <v>10</v>
      </c>
      <c r="F439" t="s">
        <v>153</v>
      </c>
      <c r="G439" s="11">
        <v>56001.221179858047</v>
      </c>
    </row>
    <row r="440" spans="1:7" hidden="1">
      <c r="A440" t="str">
        <f t="shared" si="6"/>
        <v>NOVO-07UA-Standard-X4M</v>
      </c>
      <c r="B440" t="s">
        <v>29</v>
      </c>
      <c r="C440" t="s">
        <v>130</v>
      </c>
      <c r="D440" t="s">
        <v>264</v>
      </c>
      <c r="E440" t="s">
        <v>33</v>
      </c>
      <c r="F440" t="s">
        <v>153</v>
      </c>
      <c r="G440" s="11">
        <v>40186.061494805537</v>
      </c>
    </row>
    <row r="441" spans="1:7" hidden="1">
      <c r="A441" t="str">
        <f t="shared" si="6"/>
        <v>NOVO-07UB-Plus-X4M</v>
      </c>
      <c r="B441" t="s">
        <v>29</v>
      </c>
      <c r="C441" t="s">
        <v>133</v>
      </c>
      <c r="E441" t="s">
        <v>10</v>
      </c>
      <c r="F441" t="s">
        <v>153</v>
      </c>
      <c r="G441" s="11">
        <v>74495.451631230913</v>
      </c>
    </row>
    <row r="442" spans="1:7" hidden="1">
      <c r="A442" t="str">
        <f t="shared" si="6"/>
        <v>NOVO-07US-Standard-X5</v>
      </c>
      <c r="B442" t="s">
        <v>29</v>
      </c>
      <c r="C442" t="s">
        <v>34</v>
      </c>
      <c r="D442" t="s">
        <v>254</v>
      </c>
      <c r="E442" t="s">
        <v>33</v>
      </c>
      <c r="F442" t="s">
        <v>156</v>
      </c>
      <c r="G442" s="11">
        <v>6740.8877346125419</v>
      </c>
    </row>
    <row r="443" spans="1:7" hidden="1">
      <c r="A443" t="str">
        <f t="shared" si="6"/>
        <v>NOVO-07D7-Plus-X5</v>
      </c>
      <c r="B443" t="s">
        <v>29</v>
      </c>
      <c r="C443" t="s">
        <v>42</v>
      </c>
      <c r="E443" t="s">
        <v>10</v>
      </c>
      <c r="F443" t="s">
        <v>156</v>
      </c>
      <c r="G443" s="11">
        <v>11926.185992006805</v>
      </c>
    </row>
    <row r="444" spans="1:7" hidden="1">
      <c r="A444" t="str">
        <f t="shared" si="6"/>
        <v>NOVO-07NG-Standard-X5</v>
      </c>
      <c r="B444" t="s">
        <v>29</v>
      </c>
      <c r="C444" t="s">
        <v>49</v>
      </c>
      <c r="D444" t="s">
        <v>255</v>
      </c>
      <c r="E444" t="s">
        <v>33</v>
      </c>
      <c r="F444" t="s">
        <v>156</v>
      </c>
      <c r="G444" s="11">
        <v>12358.294180122994</v>
      </c>
    </row>
    <row r="445" spans="1:7" hidden="1">
      <c r="A445" t="str">
        <f t="shared" si="6"/>
        <v>NOVO-07NM-Plus-X5</v>
      </c>
      <c r="B445" t="s">
        <v>29</v>
      </c>
      <c r="C445" t="s">
        <v>53</v>
      </c>
      <c r="E445" t="s">
        <v>10</v>
      </c>
      <c r="F445" t="s">
        <v>156</v>
      </c>
      <c r="G445" s="11">
        <v>26012.912924594555</v>
      </c>
    </row>
    <row r="446" spans="1:7" hidden="1">
      <c r="A446" t="str">
        <f t="shared" si="6"/>
        <v>NOVO-07DA-Standard-X5</v>
      </c>
      <c r="B446" t="s">
        <v>29</v>
      </c>
      <c r="C446" t="s">
        <v>58</v>
      </c>
      <c r="D446" t="s">
        <v>256</v>
      </c>
      <c r="E446" t="s">
        <v>33</v>
      </c>
      <c r="F446" t="s">
        <v>156</v>
      </c>
      <c r="G446" s="11">
        <v>19531.290102851726</v>
      </c>
    </row>
    <row r="447" spans="1:7" hidden="1">
      <c r="A447" t="str">
        <f t="shared" si="6"/>
        <v>NOVO-07DB-Plus-X5</v>
      </c>
      <c r="B447" t="s">
        <v>29</v>
      </c>
      <c r="C447" t="s">
        <v>62</v>
      </c>
      <c r="E447" t="s">
        <v>10</v>
      </c>
      <c r="F447" t="s">
        <v>156</v>
      </c>
      <c r="G447" s="11">
        <v>40186.061494805537</v>
      </c>
    </row>
    <row r="448" spans="1:7" hidden="1">
      <c r="A448" t="str">
        <f t="shared" si="6"/>
        <v>NOVO-07DD-Standard-X5</v>
      </c>
      <c r="B448" t="s">
        <v>29</v>
      </c>
      <c r="C448" t="s">
        <v>67</v>
      </c>
      <c r="D448" t="s">
        <v>257</v>
      </c>
      <c r="E448" t="s">
        <v>33</v>
      </c>
      <c r="F448" t="s">
        <v>156</v>
      </c>
      <c r="G448" s="11">
        <v>12444.715817746232</v>
      </c>
    </row>
    <row r="449" spans="1:7" hidden="1">
      <c r="A449" t="str">
        <f t="shared" si="6"/>
        <v>NOVO-07DE-Plus-X5</v>
      </c>
      <c r="B449" t="s">
        <v>29</v>
      </c>
      <c r="C449" t="s">
        <v>71</v>
      </c>
      <c r="E449" t="s">
        <v>10</v>
      </c>
      <c r="F449" t="s">
        <v>156</v>
      </c>
      <c r="G449" s="11">
        <v>26272.177837464267</v>
      </c>
    </row>
    <row r="450" spans="1:7" hidden="1">
      <c r="A450" t="str">
        <f t="shared" ref="A450:A513" si="7">B450&amp;"-"&amp;C450&amp;"-"&amp;E450&amp;"-"&amp;F450</f>
        <v>NOVO-07NX-Standard-X5</v>
      </c>
      <c r="B450" t="s">
        <v>29</v>
      </c>
      <c r="C450" t="s">
        <v>76</v>
      </c>
      <c r="D450" t="s">
        <v>258</v>
      </c>
      <c r="E450" t="s">
        <v>33</v>
      </c>
      <c r="F450" t="s">
        <v>156</v>
      </c>
      <c r="G450" s="11">
        <v>15123.786584066602</v>
      </c>
    </row>
    <row r="451" spans="1:7" hidden="1">
      <c r="A451" t="str">
        <f t="shared" si="7"/>
        <v>NOVO-07NY-Plus-X5</v>
      </c>
      <c r="B451" t="s">
        <v>29</v>
      </c>
      <c r="C451" t="s">
        <v>80</v>
      </c>
      <c r="E451" t="s">
        <v>10</v>
      </c>
      <c r="F451" t="s">
        <v>156</v>
      </c>
      <c r="G451" s="11">
        <v>31716.741007728244</v>
      </c>
    </row>
    <row r="452" spans="1:7" hidden="1">
      <c r="A452" t="str">
        <f t="shared" si="7"/>
        <v>NOVO-07N1-Standard-X5</v>
      </c>
      <c r="B452" t="s">
        <v>29</v>
      </c>
      <c r="C452" t="s">
        <v>85</v>
      </c>
      <c r="D452" t="s">
        <v>259</v>
      </c>
      <c r="E452" t="s">
        <v>33</v>
      </c>
      <c r="F452" t="s">
        <v>156</v>
      </c>
      <c r="G452" s="11">
        <v>19617.711740474962</v>
      </c>
    </row>
    <row r="453" spans="1:7" hidden="1">
      <c r="A453" t="str">
        <f t="shared" si="7"/>
        <v>NOVO-07N2-Plus-X5</v>
      </c>
      <c r="B453" t="s">
        <v>29</v>
      </c>
      <c r="C453" t="s">
        <v>89</v>
      </c>
      <c r="E453" t="s">
        <v>10</v>
      </c>
      <c r="F453" t="s">
        <v>156</v>
      </c>
      <c r="G453" s="11">
        <v>40618.169682921733</v>
      </c>
    </row>
    <row r="454" spans="1:7" hidden="1">
      <c r="A454" t="str">
        <f t="shared" si="7"/>
        <v>NOVO-07N4-Standard-X5</v>
      </c>
      <c r="B454" t="s">
        <v>29</v>
      </c>
      <c r="C454" t="s">
        <v>94</v>
      </c>
      <c r="D454" t="s">
        <v>260</v>
      </c>
      <c r="E454" t="s">
        <v>33</v>
      </c>
      <c r="F454" t="s">
        <v>156</v>
      </c>
      <c r="G454" s="11">
        <v>25235.118185985415</v>
      </c>
    </row>
    <row r="455" spans="1:7" hidden="1">
      <c r="A455" t="str">
        <f t="shared" si="7"/>
        <v>NOVO-07N5-Plus-X5</v>
      </c>
      <c r="B455" t="s">
        <v>29</v>
      </c>
      <c r="C455" t="s">
        <v>98</v>
      </c>
      <c r="E455" t="s">
        <v>10</v>
      </c>
      <c r="F455" t="s">
        <v>156</v>
      </c>
      <c r="G455" s="11">
        <v>48655.381981882834</v>
      </c>
    </row>
    <row r="456" spans="1:7" hidden="1">
      <c r="A456" t="str">
        <f t="shared" si="7"/>
        <v>NOVO-07NW-Standard-X5</v>
      </c>
      <c r="B456" t="s">
        <v>29</v>
      </c>
      <c r="C456" t="s">
        <v>103</v>
      </c>
      <c r="D456" t="s">
        <v>261</v>
      </c>
      <c r="E456" t="s">
        <v>33</v>
      </c>
      <c r="F456" t="s">
        <v>156</v>
      </c>
      <c r="G456" s="11">
        <v>13568.197106848322</v>
      </c>
    </row>
    <row r="457" spans="1:7" hidden="1">
      <c r="A457" t="str">
        <f t="shared" si="7"/>
        <v>NOVO-07NK-Plus-X5</v>
      </c>
      <c r="B457" t="s">
        <v>29</v>
      </c>
      <c r="C457" t="s">
        <v>107</v>
      </c>
      <c r="E457" t="s">
        <v>10</v>
      </c>
      <c r="F457" t="s">
        <v>156</v>
      </c>
      <c r="G457" s="11">
        <v>27222.815851319883</v>
      </c>
    </row>
    <row r="458" spans="1:7" hidden="1">
      <c r="A458" t="str">
        <f t="shared" si="7"/>
        <v>NOVO-07N7-Standard-X5</v>
      </c>
      <c r="B458" t="s">
        <v>29</v>
      </c>
      <c r="C458" t="s">
        <v>112</v>
      </c>
      <c r="D458" t="s">
        <v>262</v>
      </c>
      <c r="E458" t="s">
        <v>33</v>
      </c>
      <c r="F458" t="s">
        <v>156</v>
      </c>
      <c r="G458" s="11">
        <v>16247.267873168692</v>
      </c>
    </row>
    <row r="459" spans="1:7" hidden="1">
      <c r="A459" t="str">
        <f t="shared" si="7"/>
        <v>NOVO-07N8-Plus-X5</v>
      </c>
      <c r="B459" t="s">
        <v>29</v>
      </c>
      <c r="C459" t="s">
        <v>116</v>
      </c>
      <c r="E459" t="s">
        <v>10</v>
      </c>
      <c r="F459" t="s">
        <v>156</v>
      </c>
      <c r="G459" s="11">
        <v>32580.95738396062</v>
      </c>
    </row>
    <row r="460" spans="1:7" hidden="1">
      <c r="A460" t="str">
        <f t="shared" si="7"/>
        <v>NOVO-07NH-Standard-X5</v>
      </c>
      <c r="B460" t="s">
        <v>29</v>
      </c>
      <c r="C460" t="s">
        <v>121</v>
      </c>
      <c r="D460" t="s">
        <v>263</v>
      </c>
      <c r="E460" t="s">
        <v>33</v>
      </c>
      <c r="F460" t="s">
        <v>156</v>
      </c>
      <c r="G460" s="11">
        <v>19790.555015721438</v>
      </c>
    </row>
    <row r="461" spans="1:7" hidden="1">
      <c r="A461" t="str">
        <f t="shared" si="7"/>
        <v>NOVO-07NA-Plus-X5</v>
      </c>
      <c r="B461" t="s">
        <v>29</v>
      </c>
      <c r="C461" t="s">
        <v>125</v>
      </c>
      <c r="E461" t="s">
        <v>10</v>
      </c>
      <c r="F461" t="s">
        <v>156</v>
      </c>
      <c r="G461" s="11">
        <v>40963.856233414677</v>
      </c>
    </row>
    <row r="462" spans="1:7" hidden="1">
      <c r="A462" t="str">
        <f t="shared" si="7"/>
        <v>NOVO-07UA-Standard-X5</v>
      </c>
      <c r="B462" t="s">
        <v>29</v>
      </c>
      <c r="C462" t="s">
        <v>130</v>
      </c>
      <c r="D462" t="s">
        <v>264</v>
      </c>
      <c r="E462" t="s">
        <v>33</v>
      </c>
      <c r="F462" t="s">
        <v>156</v>
      </c>
      <c r="G462" s="11">
        <v>26704.286025580455</v>
      </c>
    </row>
    <row r="463" spans="1:7" hidden="1">
      <c r="A463" t="str">
        <f t="shared" si="7"/>
        <v>NOVO-07UB-Plus-X5</v>
      </c>
      <c r="B463" t="s">
        <v>29</v>
      </c>
      <c r="C463" t="s">
        <v>133</v>
      </c>
      <c r="E463" t="s">
        <v>10</v>
      </c>
      <c r="F463" t="s">
        <v>156</v>
      </c>
      <c r="G463" s="11">
        <v>50210.971459101114</v>
      </c>
    </row>
    <row r="464" spans="1:7">
      <c r="A464" t="str">
        <f t="shared" si="7"/>
        <v>NOVO-07US-Standard-X6</v>
      </c>
      <c r="B464" t="s">
        <v>29</v>
      </c>
      <c r="C464" t="s">
        <v>34</v>
      </c>
      <c r="D464" t="s">
        <v>254</v>
      </c>
      <c r="E464" t="s">
        <v>33</v>
      </c>
      <c r="F464" t="s">
        <v>162</v>
      </c>
      <c r="G464" s="11">
        <v>6740.8877346125419</v>
      </c>
    </row>
    <row r="465" spans="1:7" hidden="1">
      <c r="A465" t="str">
        <f t="shared" si="7"/>
        <v>NOVO-07D7-Plus-X6</v>
      </c>
      <c r="B465" t="s">
        <v>29</v>
      </c>
      <c r="C465" t="s">
        <v>42</v>
      </c>
      <c r="E465" t="s">
        <v>10</v>
      </c>
      <c r="F465" t="s">
        <v>162</v>
      </c>
      <c r="G465" s="11">
        <v>11926.185992006805</v>
      </c>
    </row>
    <row r="466" spans="1:7">
      <c r="A466" t="str">
        <f t="shared" si="7"/>
        <v>NOVO-07NG-Standard-X6</v>
      </c>
      <c r="B466" t="s">
        <v>29</v>
      </c>
      <c r="C466" t="s">
        <v>49</v>
      </c>
      <c r="D466" t="s">
        <v>255</v>
      </c>
      <c r="E466" t="s">
        <v>33</v>
      </c>
      <c r="F466" t="s">
        <v>162</v>
      </c>
      <c r="G466" s="11">
        <v>12358.294180122994</v>
      </c>
    </row>
    <row r="467" spans="1:7" hidden="1">
      <c r="A467" t="str">
        <f t="shared" si="7"/>
        <v>NOVO-07NM-Plus-X6</v>
      </c>
      <c r="B467" t="s">
        <v>29</v>
      </c>
      <c r="C467" t="s">
        <v>53</v>
      </c>
      <c r="E467" t="s">
        <v>10</v>
      </c>
      <c r="F467" t="s">
        <v>162</v>
      </c>
      <c r="G467" s="11">
        <v>26012.912924594555</v>
      </c>
    </row>
    <row r="468" spans="1:7">
      <c r="A468" t="str">
        <f t="shared" si="7"/>
        <v>NOVO-07DA-Standard-X6</v>
      </c>
      <c r="B468" t="s">
        <v>29</v>
      </c>
      <c r="C468" t="s">
        <v>58</v>
      </c>
      <c r="D468" t="s">
        <v>256</v>
      </c>
      <c r="E468" t="s">
        <v>33</v>
      </c>
      <c r="F468" t="s">
        <v>162</v>
      </c>
      <c r="G468" s="11">
        <v>19531.290102851726</v>
      </c>
    </row>
    <row r="469" spans="1:7" hidden="1">
      <c r="A469" t="str">
        <f t="shared" si="7"/>
        <v>NOVO-07DB-Plus-X6</v>
      </c>
      <c r="B469" t="s">
        <v>29</v>
      </c>
      <c r="C469" t="s">
        <v>62</v>
      </c>
      <c r="E469" t="s">
        <v>10</v>
      </c>
      <c r="F469" t="s">
        <v>162</v>
      </c>
      <c r="G469" s="11">
        <v>40186.061494805537</v>
      </c>
    </row>
    <row r="470" spans="1:7">
      <c r="A470" t="str">
        <f t="shared" si="7"/>
        <v>NOVO-07DD-Standard-X6</v>
      </c>
      <c r="B470" t="s">
        <v>29</v>
      </c>
      <c r="C470" t="s">
        <v>67</v>
      </c>
      <c r="D470" t="s">
        <v>257</v>
      </c>
      <c r="E470" t="s">
        <v>33</v>
      </c>
      <c r="F470" t="s">
        <v>162</v>
      </c>
      <c r="G470" s="11">
        <v>12444.715817746232</v>
      </c>
    </row>
    <row r="471" spans="1:7" hidden="1">
      <c r="A471" t="str">
        <f t="shared" si="7"/>
        <v>NOVO-07DE-Plus-X6</v>
      </c>
      <c r="B471" t="s">
        <v>29</v>
      </c>
      <c r="C471" t="s">
        <v>71</v>
      </c>
      <c r="E471" t="s">
        <v>10</v>
      </c>
      <c r="F471" t="s">
        <v>162</v>
      </c>
      <c r="G471" s="11">
        <v>26272.177837464267</v>
      </c>
    </row>
    <row r="472" spans="1:7">
      <c r="A472" t="str">
        <f t="shared" si="7"/>
        <v>NOVO-07NX-Standard-X6</v>
      </c>
      <c r="B472" t="s">
        <v>29</v>
      </c>
      <c r="C472" t="s">
        <v>76</v>
      </c>
      <c r="D472" t="s">
        <v>258</v>
      </c>
      <c r="E472" t="s">
        <v>33</v>
      </c>
      <c r="F472" t="s">
        <v>162</v>
      </c>
      <c r="G472" s="11">
        <v>15123.786584066602</v>
      </c>
    </row>
    <row r="473" spans="1:7" hidden="1">
      <c r="A473" t="str">
        <f t="shared" si="7"/>
        <v>NOVO-07NY-Plus-X6</v>
      </c>
      <c r="B473" t="s">
        <v>29</v>
      </c>
      <c r="C473" t="s">
        <v>80</v>
      </c>
      <c r="E473" t="s">
        <v>10</v>
      </c>
      <c r="F473" t="s">
        <v>162</v>
      </c>
      <c r="G473" s="11">
        <v>31716.741007728244</v>
      </c>
    </row>
    <row r="474" spans="1:7">
      <c r="A474" t="str">
        <f t="shared" si="7"/>
        <v>NOVO-07N1-Standard-X6</v>
      </c>
      <c r="B474" t="s">
        <v>29</v>
      </c>
      <c r="C474" t="s">
        <v>85</v>
      </c>
      <c r="D474" t="s">
        <v>259</v>
      </c>
      <c r="E474" t="s">
        <v>33</v>
      </c>
      <c r="F474" t="s">
        <v>162</v>
      </c>
      <c r="G474" s="11">
        <v>19617.711740474962</v>
      </c>
    </row>
    <row r="475" spans="1:7" hidden="1">
      <c r="A475" t="str">
        <f t="shared" si="7"/>
        <v>NOVO-07N2-Plus-X6</v>
      </c>
      <c r="B475" t="s">
        <v>29</v>
      </c>
      <c r="C475" t="s">
        <v>89</v>
      </c>
      <c r="E475" t="s">
        <v>10</v>
      </c>
      <c r="F475" t="s">
        <v>162</v>
      </c>
      <c r="G475" s="11">
        <v>40618.169682921733</v>
      </c>
    </row>
    <row r="476" spans="1:7">
      <c r="A476" t="str">
        <f t="shared" si="7"/>
        <v>NOVO-07N4-Standard-X6</v>
      </c>
      <c r="B476" t="s">
        <v>29</v>
      </c>
      <c r="C476" t="s">
        <v>94</v>
      </c>
      <c r="D476" t="s">
        <v>260</v>
      </c>
      <c r="E476" t="s">
        <v>33</v>
      </c>
      <c r="F476" t="s">
        <v>162</v>
      </c>
      <c r="G476" s="11">
        <v>25235.118185985415</v>
      </c>
    </row>
    <row r="477" spans="1:7" hidden="1">
      <c r="A477" t="str">
        <f t="shared" si="7"/>
        <v>NOVO-07N5-Plus-X6</v>
      </c>
      <c r="B477" t="s">
        <v>29</v>
      </c>
      <c r="C477" t="s">
        <v>98</v>
      </c>
      <c r="E477" t="s">
        <v>10</v>
      </c>
      <c r="F477" t="s">
        <v>162</v>
      </c>
      <c r="G477" s="11">
        <v>48655.381981882834</v>
      </c>
    </row>
    <row r="478" spans="1:7">
      <c r="A478" t="str">
        <f t="shared" si="7"/>
        <v>NOVO-07NW-Standard-X6</v>
      </c>
      <c r="B478" t="s">
        <v>29</v>
      </c>
      <c r="C478" t="s">
        <v>103</v>
      </c>
      <c r="D478" t="s">
        <v>261</v>
      </c>
      <c r="E478" t="s">
        <v>33</v>
      </c>
      <c r="F478" t="s">
        <v>162</v>
      </c>
      <c r="G478" s="11">
        <v>13568.197106848322</v>
      </c>
    </row>
    <row r="479" spans="1:7" hidden="1">
      <c r="A479" t="str">
        <f t="shared" si="7"/>
        <v>NOVO-07NK-Plus-X6</v>
      </c>
      <c r="B479" t="s">
        <v>29</v>
      </c>
      <c r="C479" t="s">
        <v>107</v>
      </c>
      <c r="E479" t="s">
        <v>10</v>
      </c>
      <c r="F479" t="s">
        <v>162</v>
      </c>
      <c r="G479" s="11">
        <v>27222.815851319883</v>
      </c>
    </row>
    <row r="480" spans="1:7">
      <c r="A480" t="str">
        <f t="shared" si="7"/>
        <v>NOVO-07N7-Standard-X6</v>
      </c>
      <c r="B480" t="s">
        <v>29</v>
      </c>
      <c r="C480" t="s">
        <v>112</v>
      </c>
      <c r="D480" t="s">
        <v>262</v>
      </c>
      <c r="E480" t="s">
        <v>33</v>
      </c>
      <c r="F480" t="s">
        <v>162</v>
      </c>
      <c r="G480" s="11">
        <v>16247.267873168692</v>
      </c>
    </row>
    <row r="481" spans="1:7" hidden="1">
      <c r="A481" t="str">
        <f t="shared" si="7"/>
        <v>NOVO-07N8-Plus-X6</v>
      </c>
      <c r="B481" t="s">
        <v>29</v>
      </c>
      <c r="C481" t="s">
        <v>116</v>
      </c>
      <c r="E481" t="s">
        <v>10</v>
      </c>
      <c r="F481" t="s">
        <v>162</v>
      </c>
      <c r="G481" s="11">
        <v>32580.95738396062</v>
      </c>
    </row>
    <row r="482" spans="1:7">
      <c r="A482" t="str">
        <f t="shared" si="7"/>
        <v>NOVO-07NH-Standard-X6</v>
      </c>
      <c r="B482" t="s">
        <v>29</v>
      </c>
      <c r="C482" t="s">
        <v>121</v>
      </c>
      <c r="D482" t="s">
        <v>263</v>
      </c>
      <c r="E482" t="s">
        <v>33</v>
      </c>
      <c r="F482" t="s">
        <v>162</v>
      </c>
      <c r="G482" s="11">
        <v>19790.555015721438</v>
      </c>
    </row>
    <row r="483" spans="1:7" hidden="1">
      <c r="A483" t="str">
        <f t="shared" si="7"/>
        <v>NOVO-07NA-Plus-X6</v>
      </c>
      <c r="B483" t="s">
        <v>29</v>
      </c>
      <c r="C483" t="s">
        <v>125</v>
      </c>
      <c r="E483" t="s">
        <v>10</v>
      </c>
      <c r="F483" t="s">
        <v>162</v>
      </c>
      <c r="G483" s="11">
        <v>40963.856233414677</v>
      </c>
    </row>
    <row r="484" spans="1:7">
      <c r="A484" t="str">
        <f t="shared" si="7"/>
        <v>NOVO-07UA-Standard-X6</v>
      </c>
      <c r="B484" t="s">
        <v>29</v>
      </c>
      <c r="C484" t="s">
        <v>130</v>
      </c>
      <c r="D484" t="s">
        <v>264</v>
      </c>
      <c r="E484" t="s">
        <v>33</v>
      </c>
      <c r="F484" t="s">
        <v>162</v>
      </c>
      <c r="G484" s="11">
        <v>26704.286025580455</v>
      </c>
    </row>
    <row r="485" spans="1:7" hidden="1">
      <c r="A485" t="str">
        <f t="shared" si="7"/>
        <v>NOVO-07UB-Plus-X6</v>
      </c>
      <c r="B485" t="s">
        <v>29</v>
      </c>
      <c r="C485" t="s">
        <v>133</v>
      </c>
      <c r="E485" t="s">
        <v>10</v>
      </c>
      <c r="F485" t="s">
        <v>162</v>
      </c>
      <c r="G485" s="11">
        <v>50210.971459101114</v>
      </c>
    </row>
    <row r="486" spans="1:7" hidden="1">
      <c r="A486" t="str">
        <f t="shared" si="7"/>
        <v>NOVO-07US-Standard-X5M</v>
      </c>
      <c r="B486" t="s">
        <v>29</v>
      </c>
      <c r="C486" t="s">
        <v>34</v>
      </c>
      <c r="D486" t="s">
        <v>254</v>
      </c>
      <c r="E486" t="s">
        <v>33</v>
      </c>
      <c r="F486" t="s">
        <v>159</v>
      </c>
      <c r="G486" s="11">
        <v>14086.726932587748</v>
      </c>
    </row>
    <row r="487" spans="1:7" hidden="1">
      <c r="A487" t="str">
        <f t="shared" si="7"/>
        <v>NOVO-07D7-Plus-X5M</v>
      </c>
      <c r="B487" t="s">
        <v>29</v>
      </c>
      <c r="C487" t="s">
        <v>42</v>
      </c>
      <c r="E487" t="s">
        <v>10</v>
      </c>
      <c r="F487" t="s">
        <v>159</v>
      </c>
      <c r="G487" s="11">
        <v>25667.226374101603</v>
      </c>
    </row>
    <row r="488" spans="1:7" hidden="1">
      <c r="A488" t="str">
        <f t="shared" si="7"/>
        <v>NOVO-07NG-Standard-X5M</v>
      </c>
      <c r="B488" t="s">
        <v>29</v>
      </c>
      <c r="C488" t="s">
        <v>49</v>
      </c>
      <c r="D488" t="s">
        <v>255</v>
      </c>
      <c r="E488" t="s">
        <v>33</v>
      </c>
      <c r="F488" t="s">
        <v>159</v>
      </c>
      <c r="G488" s="11">
        <v>19099.181914735538</v>
      </c>
    </row>
    <row r="489" spans="1:7" hidden="1">
      <c r="A489" t="str">
        <f t="shared" si="7"/>
        <v>NOVO-07NM-Plus-X5M</v>
      </c>
      <c r="B489" t="s">
        <v>29</v>
      </c>
      <c r="C489" t="s">
        <v>53</v>
      </c>
      <c r="E489" t="s">
        <v>10</v>
      </c>
      <c r="F489" t="s">
        <v>159</v>
      </c>
      <c r="G489" s="11">
        <v>43815.770274981522</v>
      </c>
    </row>
    <row r="490" spans="1:7" hidden="1">
      <c r="A490" t="str">
        <f t="shared" si="7"/>
        <v>NOVO-07DA-Standard-X5M</v>
      </c>
      <c r="B490" t="s">
        <v>29</v>
      </c>
      <c r="C490" t="s">
        <v>58</v>
      </c>
      <c r="D490" t="s">
        <v>256</v>
      </c>
      <c r="E490" t="s">
        <v>33</v>
      </c>
      <c r="F490" t="s">
        <v>159</v>
      </c>
      <c r="G490" s="11">
        <v>30766.102993872628</v>
      </c>
    </row>
    <row r="491" spans="1:7" hidden="1">
      <c r="A491" t="str">
        <f t="shared" si="7"/>
        <v>NOVO-07DB-Plus-X5M</v>
      </c>
      <c r="B491" t="s">
        <v>29</v>
      </c>
      <c r="C491" t="s">
        <v>62</v>
      </c>
      <c r="E491" t="s">
        <v>10</v>
      </c>
      <c r="F491" t="s">
        <v>159</v>
      </c>
      <c r="G491" s="11">
        <v>58853.135221424891</v>
      </c>
    </row>
    <row r="492" spans="1:7" hidden="1">
      <c r="A492" t="str">
        <f t="shared" si="7"/>
        <v>NOVO-07DD-Standard-X5M</v>
      </c>
      <c r="B492" t="s">
        <v>29</v>
      </c>
      <c r="C492" t="s">
        <v>67</v>
      </c>
      <c r="D492" t="s">
        <v>257</v>
      </c>
      <c r="E492" t="s">
        <v>33</v>
      </c>
      <c r="F492" t="s">
        <v>159</v>
      </c>
      <c r="G492" s="11">
        <v>19185.603552358774</v>
      </c>
    </row>
    <row r="493" spans="1:7" hidden="1">
      <c r="A493" t="str">
        <f t="shared" si="7"/>
        <v>NOVO-07DE-Plus-X5M</v>
      </c>
      <c r="B493" t="s">
        <v>29</v>
      </c>
      <c r="C493" t="s">
        <v>71</v>
      </c>
      <c r="E493" t="s">
        <v>10</v>
      </c>
      <c r="F493" t="s">
        <v>159</v>
      </c>
      <c r="G493" s="11">
        <v>43902.191912604765</v>
      </c>
    </row>
    <row r="494" spans="1:7" hidden="1">
      <c r="A494" t="str">
        <f t="shared" si="7"/>
        <v>NOVO-07NX-Standard-X5M</v>
      </c>
      <c r="B494" t="s">
        <v>29</v>
      </c>
      <c r="C494" t="s">
        <v>76</v>
      </c>
      <c r="D494" t="s">
        <v>258</v>
      </c>
      <c r="E494" t="s">
        <v>33</v>
      </c>
      <c r="F494" t="s">
        <v>159</v>
      </c>
      <c r="G494" s="11">
        <v>26963.550938450167</v>
      </c>
    </row>
    <row r="495" spans="1:7" hidden="1">
      <c r="A495" t="str">
        <f t="shared" si="7"/>
        <v>NOVO-07NY-Plus-X5M</v>
      </c>
      <c r="B495" t="s">
        <v>29</v>
      </c>
      <c r="C495" t="s">
        <v>80</v>
      </c>
      <c r="E495" t="s">
        <v>10</v>
      </c>
      <c r="F495" t="s">
        <v>159</v>
      </c>
      <c r="G495" s="11">
        <v>52371.512399682062</v>
      </c>
    </row>
    <row r="496" spans="1:7" hidden="1">
      <c r="A496" t="str">
        <f t="shared" si="7"/>
        <v>NOVO-07N1-Standard-X5M</v>
      </c>
      <c r="B496" t="s">
        <v>29</v>
      </c>
      <c r="C496" t="s">
        <v>85</v>
      </c>
      <c r="D496" t="s">
        <v>259</v>
      </c>
      <c r="E496" t="s">
        <v>33</v>
      </c>
      <c r="F496" t="s">
        <v>159</v>
      </c>
      <c r="G496" s="11">
        <v>33618.017035439472</v>
      </c>
    </row>
    <row r="497" spans="1:7" hidden="1">
      <c r="A497" t="str">
        <f t="shared" si="7"/>
        <v>NOVO-07N2-Plus-X5M</v>
      </c>
      <c r="B497" t="s">
        <v>29</v>
      </c>
      <c r="C497" t="s">
        <v>89</v>
      </c>
      <c r="E497" t="s">
        <v>10</v>
      </c>
      <c r="F497" t="s">
        <v>159</v>
      </c>
      <c r="G497" s="11">
        <v>60322.303061019928</v>
      </c>
    </row>
    <row r="498" spans="1:7" hidden="1">
      <c r="A498" t="str">
        <f t="shared" si="7"/>
        <v>NOVO-07N4-Standard-X5M</v>
      </c>
      <c r="B498" t="s">
        <v>29</v>
      </c>
      <c r="C498" t="s">
        <v>94</v>
      </c>
      <c r="D498" t="s">
        <v>260</v>
      </c>
      <c r="E498" t="s">
        <v>33</v>
      </c>
      <c r="F498" t="s">
        <v>159</v>
      </c>
      <c r="G498" s="11">
        <v>36642.774352252796</v>
      </c>
    </row>
    <row r="499" spans="1:7" hidden="1">
      <c r="A499" t="str">
        <f t="shared" si="7"/>
        <v>NOVO-07N5-Plus-X5M</v>
      </c>
      <c r="B499" t="s">
        <v>29</v>
      </c>
      <c r="C499" t="s">
        <v>98</v>
      </c>
      <c r="E499" t="s">
        <v>10</v>
      </c>
      <c r="F499" t="s">
        <v>159</v>
      </c>
      <c r="G499" s="11">
        <v>84001.831769787066</v>
      </c>
    </row>
    <row r="500" spans="1:7" hidden="1">
      <c r="A500" t="str">
        <f t="shared" si="7"/>
        <v>NOVO-07NW-Standard-X5M</v>
      </c>
      <c r="B500" t="s">
        <v>29</v>
      </c>
      <c r="C500" t="s">
        <v>103</v>
      </c>
      <c r="D500" t="s">
        <v>261</v>
      </c>
      <c r="E500" t="s">
        <v>33</v>
      </c>
      <c r="F500" t="s">
        <v>159</v>
      </c>
      <c r="G500" s="11">
        <v>19704.133378098202</v>
      </c>
    </row>
    <row r="501" spans="1:7" hidden="1">
      <c r="A501" t="str">
        <f t="shared" si="7"/>
        <v>NOVO-07NK-Plus-X5M</v>
      </c>
      <c r="B501" t="s">
        <v>29</v>
      </c>
      <c r="C501" t="s">
        <v>107</v>
      </c>
      <c r="E501" t="s">
        <v>10</v>
      </c>
      <c r="F501" t="s">
        <v>159</v>
      </c>
      <c r="G501" s="11">
        <v>44420.721738344189</v>
      </c>
    </row>
    <row r="502" spans="1:7" hidden="1">
      <c r="A502" t="str">
        <f t="shared" si="7"/>
        <v>NOVO-07N7-Standard-X5M</v>
      </c>
      <c r="B502" t="s">
        <v>29</v>
      </c>
      <c r="C502" t="s">
        <v>112</v>
      </c>
      <c r="D502" t="s">
        <v>262</v>
      </c>
      <c r="E502" t="s">
        <v>33</v>
      </c>
      <c r="F502" t="s">
        <v>159</v>
      </c>
      <c r="G502" s="11">
        <v>33013.065572076812</v>
      </c>
    </row>
    <row r="503" spans="1:7" hidden="1">
      <c r="A503" t="str">
        <f t="shared" si="7"/>
        <v>NOVO-07N8-Plus-X5M</v>
      </c>
      <c r="B503" t="s">
        <v>29</v>
      </c>
      <c r="C503" t="s">
        <v>116</v>
      </c>
      <c r="E503" t="s">
        <v>10</v>
      </c>
      <c r="F503" t="s">
        <v>159</v>
      </c>
      <c r="G503" s="11">
        <v>56865.437556090423</v>
      </c>
    </row>
    <row r="504" spans="1:7" hidden="1">
      <c r="A504" t="str">
        <f t="shared" si="7"/>
        <v>NOVO-07NH-Standard-X5M</v>
      </c>
      <c r="B504" t="s">
        <v>29</v>
      </c>
      <c r="C504" t="s">
        <v>121</v>
      </c>
      <c r="D504" t="s">
        <v>263</v>
      </c>
      <c r="E504" t="s">
        <v>33</v>
      </c>
      <c r="F504" t="s">
        <v>159</v>
      </c>
      <c r="G504" s="11">
        <v>35778.55797602042</v>
      </c>
    </row>
    <row r="505" spans="1:7" hidden="1">
      <c r="A505" t="str">
        <f t="shared" si="7"/>
        <v>NOVO-07NA-Plus-X5M</v>
      </c>
      <c r="B505" t="s">
        <v>29</v>
      </c>
      <c r="C505" t="s">
        <v>125</v>
      </c>
      <c r="E505" t="s">
        <v>10</v>
      </c>
      <c r="F505" t="s">
        <v>159</v>
      </c>
      <c r="G505" s="11">
        <v>61618.627625368492</v>
      </c>
    </row>
    <row r="506" spans="1:7" hidden="1">
      <c r="A506" t="str">
        <f t="shared" si="7"/>
        <v>NOVO-07UA-Standard-X5M</v>
      </c>
      <c r="B506" t="s">
        <v>29</v>
      </c>
      <c r="C506" t="s">
        <v>130</v>
      </c>
      <c r="D506" t="s">
        <v>264</v>
      </c>
      <c r="E506" t="s">
        <v>33</v>
      </c>
      <c r="F506" t="s">
        <v>159</v>
      </c>
      <c r="G506" s="11">
        <v>42260.180797763249</v>
      </c>
    </row>
    <row r="507" spans="1:7" hidden="1">
      <c r="A507" t="str">
        <f t="shared" si="7"/>
        <v>NOVO-07UB-Plus-X5M</v>
      </c>
      <c r="B507" t="s">
        <v>29</v>
      </c>
      <c r="C507" t="s">
        <v>133</v>
      </c>
      <c r="E507" t="s">
        <v>10</v>
      </c>
      <c r="F507" t="s">
        <v>159</v>
      </c>
      <c r="G507" s="11">
        <v>89014.286751934851</v>
      </c>
    </row>
    <row r="508" spans="1:7">
      <c r="A508" t="str">
        <f t="shared" si="7"/>
        <v>NOVO-07US-Standard-X6M</v>
      </c>
      <c r="B508" t="s">
        <v>29</v>
      </c>
      <c r="C508" t="s">
        <v>34</v>
      </c>
      <c r="D508" t="s">
        <v>254</v>
      </c>
      <c r="E508" t="s">
        <v>33</v>
      </c>
      <c r="F508" t="s">
        <v>165</v>
      </c>
      <c r="G508" s="11">
        <v>14086.726932587748</v>
      </c>
    </row>
    <row r="509" spans="1:7" hidden="1">
      <c r="A509" t="str">
        <f t="shared" si="7"/>
        <v>NOVO-07D7-Plus-X6M</v>
      </c>
      <c r="B509" t="s">
        <v>29</v>
      </c>
      <c r="C509" t="s">
        <v>42</v>
      </c>
      <c r="E509" t="s">
        <v>10</v>
      </c>
      <c r="F509" t="s">
        <v>165</v>
      </c>
      <c r="G509" s="11">
        <v>25667.226374101603</v>
      </c>
    </row>
    <row r="510" spans="1:7">
      <c r="A510" t="str">
        <f t="shared" si="7"/>
        <v>NOVO-07NG-Standard-X6M</v>
      </c>
      <c r="B510" t="s">
        <v>29</v>
      </c>
      <c r="C510" t="s">
        <v>49</v>
      </c>
      <c r="D510" t="s">
        <v>255</v>
      </c>
      <c r="E510" t="s">
        <v>33</v>
      </c>
      <c r="F510" t="s">
        <v>165</v>
      </c>
      <c r="G510" s="11">
        <v>19099.181914735538</v>
      </c>
    </row>
    <row r="511" spans="1:7" hidden="1">
      <c r="A511" t="str">
        <f t="shared" si="7"/>
        <v>NOVO-07NM-Plus-X6M</v>
      </c>
      <c r="B511" t="s">
        <v>29</v>
      </c>
      <c r="C511" t="s">
        <v>53</v>
      </c>
      <c r="E511" t="s">
        <v>10</v>
      </c>
      <c r="F511" t="s">
        <v>165</v>
      </c>
      <c r="G511" s="11">
        <v>43815.770274981522</v>
      </c>
    </row>
    <row r="512" spans="1:7">
      <c r="A512" t="str">
        <f t="shared" si="7"/>
        <v>NOVO-07DA-Standard-X6M</v>
      </c>
      <c r="B512" t="s">
        <v>29</v>
      </c>
      <c r="C512" t="s">
        <v>58</v>
      </c>
      <c r="D512" t="s">
        <v>256</v>
      </c>
      <c r="E512" t="s">
        <v>33</v>
      </c>
      <c r="F512" t="s">
        <v>165</v>
      </c>
      <c r="G512" s="11">
        <v>30766.102993872628</v>
      </c>
    </row>
    <row r="513" spans="1:7" hidden="1">
      <c r="A513" t="str">
        <f t="shared" si="7"/>
        <v>NOVO-07DB-Plus-X6M</v>
      </c>
      <c r="B513" t="s">
        <v>29</v>
      </c>
      <c r="C513" t="s">
        <v>62</v>
      </c>
      <c r="E513" t="s">
        <v>10</v>
      </c>
      <c r="F513" t="s">
        <v>165</v>
      </c>
      <c r="G513" s="11">
        <v>58853.135221424891</v>
      </c>
    </row>
    <row r="514" spans="1:7">
      <c r="A514" t="str">
        <f t="shared" ref="A514:A577" si="8">B514&amp;"-"&amp;C514&amp;"-"&amp;E514&amp;"-"&amp;F514</f>
        <v>NOVO-07DD-Standard-X6M</v>
      </c>
      <c r="B514" t="s">
        <v>29</v>
      </c>
      <c r="C514" t="s">
        <v>67</v>
      </c>
      <c r="D514" t="s">
        <v>257</v>
      </c>
      <c r="E514" t="s">
        <v>33</v>
      </c>
      <c r="F514" t="s">
        <v>165</v>
      </c>
      <c r="G514" s="11">
        <v>19185.603552358774</v>
      </c>
    </row>
    <row r="515" spans="1:7" hidden="1">
      <c r="A515" t="str">
        <f t="shared" si="8"/>
        <v>NOVO-07DE-Plus-X6M</v>
      </c>
      <c r="B515" t="s">
        <v>29</v>
      </c>
      <c r="C515" t="s">
        <v>71</v>
      </c>
      <c r="E515" t="s">
        <v>10</v>
      </c>
      <c r="F515" t="s">
        <v>165</v>
      </c>
      <c r="G515" s="11">
        <v>43902.191912604765</v>
      </c>
    </row>
    <row r="516" spans="1:7">
      <c r="A516" t="str">
        <f t="shared" si="8"/>
        <v>NOVO-07NX-Standard-X6M</v>
      </c>
      <c r="B516" t="s">
        <v>29</v>
      </c>
      <c r="C516" t="s">
        <v>76</v>
      </c>
      <c r="D516" t="s">
        <v>258</v>
      </c>
      <c r="E516" t="s">
        <v>33</v>
      </c>
      <c r="F516" t="s">
        <v>165</v>
      </c>
      <c r="G516" s="11">
        <v>26963.550938450167</v>
      </c>
    </row>
    <row r="517" spans="1:7" hidden="1">
      <c r="A517" t="str">
        <f t="shared" si="8"/>
        <v>NOVO-07NY-Plus-X6M</v>
      </c>
      <c r="B517" t="s">
        <v>29</v>
      </c>
      <c r="C517" t="s">
        <v>80</v>
      </c>
      <c r="E517" t="s">
        <v>10</v>
      </c>
      <c r="F517" t="s">
        <v>165</v>
      </c>
      <c r="G517" s="11">
        <v>52371.512399682062</v>
      </c>
    </row>
    <row r="518" spans="1:7">
      <c r="A518" t="str">
        <f t="shared" si="8"/>
        <v>NOVO-07N1-Standard-X6M</v>
      </c>
      <c r="B518" t="s">
        <v>29</v>
      </c>
      <c r="C518" t="s">
        <v>85</v>
      </c>
      <c r="D518" t="s">
        <v>259</v>
      </c>
      <c r="E518" t="s">
        <v>33</v>
      </c>
      <c r="F518" t="s">
        <v>165</v>
      </c>
      <c r="G518" s="11">
        <v>33618.017035439472</v>
      </c>
    </row>
    <row r="519" spans="1:7" hidden="1">
      <c r="A519" t="str">
        <f t="shared" si="8"/>
        <v>NOVO-07N2-Plus-X6M</v>
      </c>
      <c r="B519" t="s">
        <v>29</v>
      </c>
      <c r="C519" t="s">
        <v>89</v>
      </c>
      <c r="E519" t="s">
        <v>10</v>
      </c>
      <c r="F519" t="s">
        <v>165</v>
      </c>
      <c r="G519" s="11">
        <v>60322.303061019928</v>
      </c>
    </row>
    <row r="520" spans="1:7">
      <c r="A520" t="str">
        <f t="shared" si="8"/>
        <v>NOVO-07N4-Standard-X6M</v>
      </c>
      <c r="B520" t="s">
        <v>29</v>
      </c>
      <c r="C520" t="s">
        <v>94</v>
      </c>
      <c r="D520" t="s">
        <v>260</v>
      </c>
      <c r="E520" t="s">
        <v>33</v>
      </c>
      <c r="F520" t="s">
        <v>165</v>
      </c>
      <c r="G520" s="11">
        <v>36642.774352252796</v>
      </c>
    </row>
    <row r="521" spans="1:7" hidden="1">
      <c r="A521" t="str">
        <f t="shared" si="8"/>
        <v>NOVO-07N5-Plus-X6M</v>
      </c>
      <c r="B521" t="s">
        <v>29</v>
      </c>
      <c r="C521" t="s">
        <v>98</v>
      </c>
      <c r="E521" t="s">
        <v>10</v>
      </c>
      <c r="F521" t="s">
        <v>165</v>
      </c>
      <c r="G521" s="11">
        <v>84001.831769787066</v>
      </c>
    </row>
    <row r="522" spans="1:7">
      <c r="A522" t="str">
        <f t="shared" si="8"/>
        <v>NOVO-07NW-Standard-X6M</v>
      </c>
      <c r="B522" t="s">
        <v>29</v>
      </c>
      <c r="C522" t="s">
        <v>103</v>
      </c>
      <c r="D522" t="s">
        <v>261</v>
      </c>
      <c r="E522" t="s">
        <v>33</v>
      </c>
      <c r="F522" t="s">
        <v>165</v>
      </c>
      <c r="G522" s="11">
        <v>19704.133378098202</v>
      </c>
    </row>
    <row r="523" spans="1:7" hidden="1">
      <c r="A523" t="str">
        <f t="shared" si="8"/>
        <v>NOVO-07NK-Plus-X6M</v>
      </c>
      <c r="B523" t="s">
        <v>29</v>
      </c>
      <c r="C523" t="s">
        <v>107</v>
      </c>
      <c r="E523" t="s">
        <v>10</v>
      </c>
      <c r="F523" t="s">
        <v>165</v>
      </c>
      <c r="G523" s="11">
        <v>44420.721738344189</v>
      </c>
    </row>
    <row r="524" spans="1:7">
      <c r="A524" t="str">
        <f t="shared" si="8"/>
        <v>NOVO-07N7-Standard-X6M</v>
      </c>
      <c r="B524" t="s">
        <v>29</v>
      </c>
      <c r="C524" t="s">
        <v>112</v>
      </c>
      <c r="D524" t="s">
        <v>262</v>
      </c>
      <c r="E524" t="s">
        <v>33</v>
      </c>
      <c r="F524" t="s">
        <v>165</v>
      </c>
      <c r="G524" s="11">
        <v>33013.065572076812</v>
      </c>
    </row>
    <row r="525" spans="1:7" hidden="1">
      <c r="A525" t="str">
        <f t="shared" si="8"/>
        <v>NOVO-07N8-Plus-X6M</v>
      </c>
      <c r="B525" t="s">
        <v>29</v>
      </c>
      <c r="C525" t="s">
        <v>116</v>
      </c>
      <c r="E525" t="s">
        <v>10</v>
      </c>
      <c r="F525" t="s">
        <v>165</v>
      </c>
      <c r="G525" s="11">
        <v>56865.437556090423</v>
      </c>
    </row>
    <row r="526" spans="1:7">
      <c r="A526" t="str">
        <f t="shared" si="8"/>
        <v>NOVO-07NH-Standard-X6M</v>
      </c>
      <c r="B526" t="s">
        <v>29</v>
      </c>
      <c r="C526" t="s">
        <v>121</v>
      </c>
      <c r="D526" t="s">
        <v>263</v>
      </c>
      <c r="E526" t="s">
        <v>33</v>
      </c>
      <c r="F526" t="s">
        <v>165</v>
      </c>
      <c r="G526" s="11">
        <v>35778.55797602042</v>
      </c>
    </row>
    <row r="527" spans="1:7" hidden="1">
      <c r="A527" t="str">
        <f t="shared" si="8"/>
        <v>NOVO-07NA-Plus-X6M</v>
      </c>
      <c r="B527" t="s">
        <v>29</v>
      </c>
      <c r="C527" t="s">
        <v>125</v>
      </c>
      <c r="E527" t="s">
        <v>10</v>
      </c>
      <c r="F527" t="s">
        <v>165</v>
      </c>
      <c r="G527" s="11">
        <v>61618.627625368492</v>
      </c>
    </row>
    <row r="528" spans="1:7">
      <c r="A528" t="str">
        <f t="shared" si="8"/>
        <v>NOVO-07UA-Standard-X6M</v>
      </c>
      <c r="B528" t="s">
        <v>29</v>
      </c>
      <c r="C528" t="s">
        <v>130</v>
      </c>
      <c r="D528" t="s">
        <v>264</v>
      </c>
      <c r="E528" t="s">
        <v>33</v>
      </c>
      <c r="F528" t="s">
        <v>165</v>
      </c>
      <c r="G528" s="11">
        <v>42260.180797763249</v>
      </c>
    </row>
    <row r="529" spans="1:7" hidden="1">
      <c r="A529" t="str">
        <f t="shared" si="8"/>
        <v>NOVO-07UB-Plus-X6M</v>
      </c>
      <c r="B529" t="s">
        <v>29</v>
      </c>
      <c r="C529" t="s">
        <v>133</v>
      </c>
      <c r="E529" t="s">
        <v>10</v>
      </c>
      <c r="F529" t="s">
        <v>165</v>
      </c>
      <c r="G529" s="11">
        <v>89014.286751934851</v>
      </c>
    </row>
    <row r="530" spans="1:7" hidden="1">
      <c r="A530" t="str">
        <f t="shared" si="8"/>
        <v>NOVO-07US-Standard-X7</v>
      </c>
      <c r="B530" t="s">
        <v>29</v>
      </c>
      <c r="C530" t="s">
        <v>34</v>
      </c>
      <c r="D530" t="s">
        <v>254</v>
      </c>
      <c r="E530" t="s">
        <v>33</v>
      </c>
      <c r="F530" t="s">
        <v>74</v>
      </c>
      <c r="G530" s="11">
        <v>8210.055574207583</v>
      </c>
    </row>
    <row r="531" spans="1:7" hidden="1">
      <c r="A531" t="str">
        <f t="shared" si="8"/>
        <v>NOVO-07D7-Plus-X7</v>
      </c>
      <c r="B531" t="s">
        <v>29</v>
      </c>
      <c r="C531" t="s">
        <v>42</v>
      </c>
      <c r="E531" t="s">
        <v>10</v>
      </c>
      <c r="F531" t="s">
        <v>74</v>
      </c>
      <c r="G531" s="11">
        <v>15815.159685052504</v>
      </c>
    </row>
    <row r="532" spans="1:7" hidden="1">
      <c r="A532" t="str">
        <f t="shared" si="8"/>
        <v>NOVO-07NG-Standard-X7</v>
      </c>
      <c r="B532" t="s">
        <v>29</v>
      </c>
      <c r="C532" t="s">
        <v>49</v>
      </c>
      <c r="D532" t="s">
        <v>255</v>
      </c>
      <c r="E532" t="s">
        <v>33</v>
      </c>
      <c r="F532" t="s">
        <v>74</v>
      </c>
      <c r="G532" s="11">
        <v>13136.088918732134</v>
      </c>
    </row>
    <row r="533" spans="1:7" hidden="1">
      <c r="A533" t="str">
        <f t="shared" si="8"/>
        <v>NOVO-07NM-Plus-X7</v>
      </c>
      <c r="B533" t="s">
        <v>29</v>
      </c>
      <c r="C533" t="s">
        <v>53</v>
      </c>
      <c r="E533" t="s">
        <v>10</v>
      </c>
      <c r="F533" t="s">
        <v>74</v>
      </c>
      <c r="G533" s="11">
        <v>27914.188952305783</v>
      </c>
    </row>
    <row r="534" spans="1:7" hidden="1">
      <c r="A534" t="str">
        <f t="shared" si="8"/>
        <v>NOVO-07DA-Standard-X7</v>
      </c>
      <c r="B534" t="s">
        <v>29</v>
      </c>
      <c r="C534" t="s">
        <v>58</v>
      </c>
      <c r="D534" t="s">
        <v>256</v>
      </c>
      <c r="E534" t="s">
        <v>33</v>
      </c>
      <c r="F534" t="s">
        <v>74</v>
      </c>
      <c r="G534" s="11">
        <v>21086.879580070003</v>
      </c>
    </row>
    <row r="535" spans="1:7" hidden="1">
      <c r="A535" t="str">
        <f t="shared" si="8"/>
        <v>NOVO-07DB-Plus-X7</v>
      </c>
      <c r="B535" t="s">
        <v>29</v>
      </c>
      <c r="C535" t="s">
        <v>62</v>
      </c>
      <c r="E535" t="s">
        <v>10</v>
      </c>
      <c r="F535" t="s">
        <v>74</v>
      </c>
      <c r="G535" s="11">
        <v>43124.397173995625</v>
      </c>
    </row>
    <row r="536" spans="1:7" hidden="1">
      <c r="A536" t="str">
        <f t="shared" si="8"/>
        <v>NOVO-07DD-Standard-X7</v>
      </c>
      <c r="B536" t="s">
        <v>29</v>
      </c>
      <c r="C536" t="s">
        <v>67</v>
      </c>
      <c r="D536" t="s">
        <v>257</v>
      </c>
      <c r="E536" t="s">
        <v>33</v>
      </c>
      <c r="F536" t="s">
        <v>74</v>
      </c>
      <c r="G536" s="11">
        <v>13222.510556355372</v>
      </c>
    </row>
    <row r="537" spans="1:7" hidden="1">
      <c r="A537" t="str">
        <f t="shared" si="8"/>
        <v>NOVO-07DE-Plus-X7</v>
      </c>
      <c r="B537" t="s">
        <v>29</v>
      </c>
      <c r="C537" t="s">
        <v>71</v>
      </c>
      <c r="E537" t="s">
        <v>10</v>
      </c>
      <c r="F537" t="s">
        <v>74</v>
      </c>
      <c r="G537" s="11">
        <v>28173.453865175496</v>
      </c>
    </row>
    <row r="538" spans="1:7" hidden="1">
      <c r="A538" t="str">
        <f t="shared" si="8"/>
        <v>NOVO-07NX-Standard-X7</v>
      </c>
      <c r="B538" t="s">
        <v>29</v>
      </c>
      <c r="C538" t="s">
        <v>76</v>
      </c>
      <c r="D538" t="s">
        <v>258</v>
      </c>
      <c r="E538" t="s">
        <v>33</v>
      </c>
      <c r="F538" t="s">
        <v>74</v>
      </c>
      <c r="G538" s="11">
        <v>16506.532786038406</v>
      </c>
    </row>
    <row r="539" spans="1:7" hidden="1">
      <c r="A539" t="str">
        <f t="shared" si="8"/>
        <v>NOVO-07NY-Plus-X7</v>
      </c>
      <c r="B539" t="s">
        <v>29</v>
      </c>
      <c r="C539" t="s">
        <v>80</v>
      </c>
      <c r="E539" t="s">
        <v>10</v>
      </c>
      <c r="F539" t="s">
        <v>74</v>
      </c>
      <c r="G539" s="11">
        <v>33877.281948309188</v>
      </c>
    </row>
    <row r="540" spans="1:7" hidden="1">
      <c r="A540" t="str">
        <f t="shared" si="8"/>
        <v>NOVO-07N1-Standard-X7</v>
      </c>
      <c r="B540" t="s">
        <v>29</v>
      </c>
      <c r="C540" t="s">
        <v>85</v>
      </c>
      <c r="D540" t="s">
        <v>259</v>
      </c>
      <c r="E540" t="s">
        <v>33</v>
      </c>
      <c r="F540" t="s">
        <v>74</v>
      </c>
      <c r="G540" s="11">
        <v>21432.566130562955</v>
      </c>
    </row>
    <row r="541" spans="1:7" hidden="1">
      <c r="A541" t="str">
        <f t="shared" si="8"/>
        <v>NOVO-07N2-Plus-X7</v>
      </c>
      <c r="B541" t="s">
        <v>29</v>
      </c>
      <c r="C541" t="s">
        <v>89</v>
      </c>
      <c r="E541" t="s">
        <v>10</v>
      </c>
      <c r="F541" t="s">
        <v>74</v>
      </c>
      <c r="G541" s="11">
        <v>43470.083724488577</v>
      </c>
    </row>
    <row r="542" spans="1:7" hidden="1">
      <c r="A542" t="str">
        <f t="shared" si="8"/>
        <v>NOVO-07N4-Standard-X7</v>
      </c>
      <c r="B542" t="s">
        <v>29</v>
      </c>
      <c r="C542" t="s">
        <v>94</v>
      </c>
      <c r="D542" t="s">
        <v>260</v>
      </c>
      <c r="E542" t="s">
        <v>33</v>
      </c>
      <c r="F542" t="s">
        <v>74</v>
      </c>
      <c r="G542" s="11">
        <v>26790.707663203695</v>
      </c>
    </row>
    <row r="543" spans="1:7" hidden="1">
      <c r="A543" t="str">
        <f t="shared" si="8"/>
        <v>NOVO-07N5-Plus-X7</v>
      </c>
      <c r="B543" t="s">
        <v>29</v>
      </c>
      <c r="C543" t="s">
        <v>98</v>
      </c>
      <c r="E543" t="s">
        <v>10</v>
      </c>
      <c r="F543" t="s">
        <v>74</v>
      </c>
      <c r="G543" s="11">
        <v>52198.669124435582</v>
      </c>
    </row>
    <row r="544" spans="1:7" hidden="1">
      <c r="A544" t="str">
        <f t="shared" si="8"/>
        <v>NOVO-07NW-Standard-X7</v>
      </c>
      <c r="B544" t="s">
        <v>29</v>
      </c>
      <c r="C544" t="s">
        <v>103</v>
      </c>
      <c r="D544" t="s">
        <v>261</v>
      </c>
      <c r="E544" t="s">
        <v>33</v>
      </c>
      <c r="F544" t="s">
        <v>74</v>
      </c>
      <c r="G544" s="11">
        <v>14345.991845457462</v>
      </c>
    </row>
    <row r="545" spans="1:7" hidden="1">
      <c r="A545" t="str">
        <f t="shared" si="8"/>
        <v>NOVO-07NK-Plus-X7</v>
      </c>
      <c r="B545" t="s">
        <v>29</v>
      </c>
      <c r="C545" t="s">
        <v>107</v>
      </c>
      <c r="E545" t="s">
        <v>10</v>
      </c>
      <c r="F545" t="s">
        <v>74</v>
      </c>
      <c r="G545" s="11">
        <v>28864.826966161399</v>
      </c>
    </row>
    <row r="546" spans="1:7" hidden="1">
      <c r="A546" t="str">
        <f t="shared" si="8"/>
        <v>NOVO-07N7-Standard-X7</v>
      </c>
      <c r="B546" t="s">
        <v>29</v>
      </c>
      <c r="C546" t="s">
        <v>112</v>
      </c>
      <c r="D546" t="s">
        <v>262</v>
      </c>
      <c r="E546" t="s">
        <v>33</v>
      </c>
      <c r="F546" t="s">
        <v>74</v>
      </c>
      <c r="G546" s="11">
        <v>20136.24156621439</v>
      </c>
    </row>
    <row r="547" spans="1:7" hidden="1">
      <c r="A547" t="str">
        <f t="shared" si="8"/>
        <v>NOVO-07N8-Plus-X7</v>
      </c>
      <c r="B547" t="s">
        <v>29</v>
      </c>
      <c r="C547" t="s">
        <v>116</v>
      </c>
      <c r="E547" t="s">
        <v>10</v>
      </c>
      <c r="F547" t="s">
        <v>74</v>
      </c>
      <c r="G547" s="11">
        <v>35000.76323741128</v>
      </c>
    </row>
    <row r="548" spans="1:7" hidden="1">
      <c r="A548" t="str">
        <f t="shared" si="8"/>
        <v>NOVO-07NH-Standard-X7</v>
      </c>
      <c r="B548" t="s">
        <v>29</v>
      </c>
      <c r="C548" t="s">
        <v>121</v>
      </c>
      <c r="D548" t="s">
        <v>263</v>
      </c>
      <c r="E548" t="s">
        <v>33</v>
      </c>
      <c r="F548" t="s">
        <v>74</v>
      </c>
      <c r="G548" s="11">
        <v>21864.674318679143</v>
      </c>
    </row>
    <row r="549" spans="1:7" hidden="1">
      <c r="A549" t="str">
        <f t="shared" si="8"/>
        <v>NOVO-07NA-Plus-X7</v>
      </c>
      <c r="B549" t="s">
        <v>29</v>
      </c>
      <c r="C549" t="s">
        <v>125</v>
      </c>
      <c r="E549" t="s">
        <v>10</v>
      </c>
      <c r="F549" t="s">
        <v>74</v>
      </c>
      <c r="G549" s="11">
        <v>43556.505362111813</v>
      </c>
    </row>
    <row r="550" spans="1:7" hidden="1">
      <c r="A550" t="str">
        <f t="shared" si="8"/>
        <v>NOVO-07UA-Standard-X7</v>
      </c>
      <c r="B550" t="s">
        <v>29</v>
      </c>
      <c r="C550" t="s">
        <v>130</v>
      </c>
      <c r="D550" t="s">
        <v>264</v>
      </c>
      <c r="E550" t="s">
        <v>33</v>
      </c>
      <c r="F550" t="s">
        <v>74</v>
      </c>
      <c r="G550" s="11">
        <v>28519.140415668448</v>
      </c>
    </row>
    <row r="551" spans="1:7" hidden="1">
      <c r="A551" t="str">
        <f t="shared" si="8"/>
        <v>NOVO-07UB-Plus-X7</v>
      </c>
      <c r="B551" t="s">
        <v>29</v>
      </c>
      <c r="C551" t="s">
        <v>133</v>
      </c>
      <c r="E551" t="s">
        <v>10</v>
      </c>
      <c r="F551" t="s">
        <v>74</v>
      </c>
      <c r="G551" s="11">
        <v>53408.572051160911</v>
      </c>
    </row>
    <row r="552" spans="1:7" hidden="1">
      <c r="A552" t="str">
        <f t="shared" si="8"/>
        <v>NOVO-07US-Standard-Z4</v>
      </c>
      <c r="B552" t="s">
        <v>29</v>
      </c>
      <c r="C552" t="s">
        <v>34</v>
      </c>
      <c r="D552" t="s">
        <v>254</v>
      </c>
      <c r="E552" t="s">
        <v>33</v>
      </c>
      <c r="F552" t="s">
        <v>168</v>
      </c>
      <c r="G552" s="11">
        <v>5358.1415326407387</v>
      </c>
    </row>
    <row r="553" spans="1:7" hidden="1">
      <c r="A553" t="str">
        <f t="shared" si="8"/>
        <v>NOVO-07D7-Plus-Z4</v>
      </c>
      <c r="B553" t="s">
        <v>29</v>
      </c>
      <c r="C553" t="s">
        <v>42</v>
      </c>
      <c r="E553" t="s">
        <v>10</v>
      </c>
      <c r="F553" t="s">
        <v>168</v>
      </c>
      <c r="G553" s="11">
        <v>9419.9585009329112</v>
      </c>
    </row>
    <row r="554" spans="1:7" hidden="1">
      <c r="A554" t="str">
        <f t="shared" si="8"/>
        <v>NOVO-07NG-Standard-Z4</v>
      </c>
      <c r="B554" t="s">
        <v>29</v>
      </c>
      <c r="C554" t="s">
        <v>49</v>
      </c>
      <c r="D554" t="s">
        <v>255</v>
      </c>
      <c r="E554" t="s">
        <v>33</v>
      </c>
      <c r="F554" t="s">
        <v>168</v>
      </c>
      <c r="G554" s="11">
        <v>9333.5368633096732</v>
      </c>
    </row>
    <row r="555" spans="1:7" hidden="1">
      <c r="A555" t="str">
        <f t="shared" si="8"/>
        <v>NOVO-07NM-Plus-Z4</v>
      </c>
      <c r="B555" t="s">
        <v>29</v>
      </c>
      <c r="C555" t="s">
        <v>53</v>
      </c>
      <c r="E555" t="s">
        <v>10</v>
      </c>
      <c r="F555" t="s">
        <v>168</v>
      </c>
      <c r="G555" s="11">
        <v>20222.663203837626</v>
      </c>
    </row>
    <row r="556" spans="1:7" hidden="1">
      <c r="A556" t="str">
        <f t="shared" si="8"/>
        <v>NOVO-07DA-Standard-Z4</v>
      </c>
      <c r="B556" t="s">
        <v>29</v>
      </c>
      <c r="C556" t="s">
        <v>58</v>
      </c>
      <c r="D556" t="s">
        <v>256</v>
      </c>
      <c r="E556" t="s">
        <v>33</v>
      </c>
      <c r="F556" t="s">
        <v>168</v>
      </c>
      <c r="G556" s="11">
        <v>14345.991845457462</v>
      </c>
    </row>
    <row r="557" spans="1:7" hidden="1">
      <c r="A557" t="str">
        <f t="shared" si="8"/>
        <v>NOVO-07DB-Plus-Z4</v>
      </c>
      <c r="B557" t="s">
        <v>29</v>
      </c>
      <c r="C557" t="s">
        <v>62</v>
      </c>
      <c r="E557" t="s">
        <v>10</v>
      </c>
      <c r="F557" t="s">
        <v>168</v>
      </c>
      <c r="G557" s="11">
        <v>30074.729892886728</v>
      </c>
    </row>
    <row r="558" spans="1:7" hidden="1">
      <c r="A558" t="str">
        <f t="shared" si="8"/>
        <v>NOVO-07DD-Standard-Z4</v>
      </c>
      <c r="B558" t="s">
        <v>29</v>
      </c>
      <c r="C558" t="s">
        <v>67</v>
      </c>
      <c r="D558" t="s">
        <v>257</v>
      </c>
      <c r="E558" t="s">
        <v>33</v>
      </c>
      <c r="F558" t="s">
        <v>168</v>
      </c>
      <c r="G558" s="11">
        <v>9419.9585009329112</v>
      </c>
    </row>
    <row r="559" spans="1:7" hidden="1">
      <c r="A559" t="str">
        <f t="shared" si="8"/>
        <v>NOVO-07DE-Plus-Z4</v>
      </c>
      <c r="B559" t="s">
        <v>29</v>
      </c>
      <c r="C559" t="s">
        <v>71</v>
      </c>
      <c r="E559" t="s">
        <v>10</v>
      </c>
      <c r="F559" t="s">
        <v>168</v>
      </c>
      <c r="G559" s="11">
        <v>20395.506479084102</v>
      </c>
    </row>
    <row r="560" spans="1:7" hidden="1">
      <c r="A560" t="str">
        <f t="shared" si="8"/>
        <v>NOVO-07NX-Standard-Z4</v>
      </c>
      <c r="B560" t="s">
        <v>29</v>
      </c>
      <c r="C560" t="s">
        <v>76</v>
      </c>
      <c r="D560" t="s">
        <v>258</v>
      </c>
      <c r="E560" t="s">
        <v>33</v>
      </c>
      <c r="F560" t="s">
        <v>168</v>
      </c>
      <c r="G560" s="11">
        <v>11234.812891020903</v>
      </c>
    </row>
    <row r="561" spans="1:7" hidden="1">
      <c r="A561" t="str">
        <f t="shared" si="8"/>
        <v>NOVO-07NY-Plus-Z4</v>
      </c>
      <c r="B561" t="s">
        <v>29</v>
      </c>
      <c r="C561" t="s">
        <v>80</v>
      </c>
      <c r="E561" t="s">
        <v>10</v>
      </c>
      <c r="F561" t="s">
        <v>168</v>
      </c>
      <c r="G561" s="11">
        <v>24198.058534506563</v>
      </c>
    </row>
    <row r="562" spans="1:7" hidden="1">
      <c r="A562" t="str">
        <f t="shared" si="8"/>
        <v>NOVO-07N1-Standard-Z4</v>
      </c>
      <c r="B562" t="s">
        <v>29</v>
      </c>
      <c r="C562" t="s">
        <v>85</v>
      </c>
      <c r="D562" t="s">
        <v>259</v>
      </c>
      <c r="E562" t="s">
        <v>33</v>
      </c>
      <c r="F562" t="s">
        <v>168</v>
      </c>
      <c r="G562" s="11">
        <v>14432.4134830807</v>
      </c>
    </row>
    <row r="563" spans="1:7" hidden="1">
      <c r="A563" t="str">
        <f t="shared" si="8"/>
        <v>NOVO-07N2-Plus-Z4</v>
      </c>
      <c r="B563" t="s">
        <v>29</v>
      </c>
      <c r="C563" t="s">
        <v>89</v>
      </c>
      <c r="E563" t="s">
        <v>10</v>
      </c>
      <c r="F563" t="s">
        <v>168</v>
      </c>
      <c r="G563" s="11">
        <v>30506.838081002916</v>
      </c>
    </row>
    <row r="564" spans="1:7" hidden="1">
      <c r="A564" t="str">
        <f t="shared" si="8"/>
        <v>NOVO-07N4-Standard-Z4</v>
      </c>
      <c r="B564" t="s">
        <v>29</v>
      </c>
      <c r="C564" t="s">
        <v>94</v>
      </c>
      <c r="D564" t="s">
        <v>260</v>
      </c>
      <c r="E564" t="s">
        <v>33</v>
      </c>
      <c r="F564" t="s">
        <v>168</v>
      </c>
      <c r="G564" s="11">
        <v>18494.230451372874</v>
      </c>
    </row>
    <row r="565" spans="1:7" hidden="1">
      <c r="A565" t="str">
        <f t="shared" si="8"/>
        <v>NOVO-07N5-Plus-Z4</v>
      </c>
      <c r="B565" t="s">
        <v>29</v>
      </c>
      <c r="C565" t="s">
        <v>98</v>
      </c>
      <c r="E565" t="s">
        <v>10</v>
      </c>
      <c r="F565" t="s">
        <v>168</v>
      </c>
      <c r="G565" s="11">
        <v>36383.50943938308</v>
      </c>
    </row>
    <row r="566" spans="1:7" hidden="1">
      <c r="A566" t="str">
        <f t="shared" si="8"/>
        <v>NOVO-07NW-Standard-Z4</v>
      </c>
      <c r="B566" t="s">
        <v>29</v>
      </c>
      <c r="C566" t="s">
        <v>103</v>
      </c>
      <c r="D566" t="s">
        <v>261</v>
      </c>
      <c r="E566" t="s">
        <v>33</v>
      </c>
      <c r="F566" t="s">
        <v>168</v>
      </c>
      <c r="G566" s="11">
        <v>10543.439790035001</v>
      </c>
    </row>
    <row r="567" spans="1:7" hidden="1">
      <c r="A567" t="str">
        <f t="shared" si="8"/>
        <v>NOVO-07NK-Plus-Z4</v>
      </c>
      <c r="B567" t="s">
        <v>29</v>
      </c>
      <c r="C567" t="s">
        <v>107</v>
      </c>
      <c r="E567" t="s">
        <v>10</v>
      </c>
      <c r="F567" t="s">
        <v>168</v>
      </c>
      <c r="G567" s="11">
        <v>21518.987768186194</v>
      </c>
    </row>
    <row r="568" spans="1:7" hidden="1">
      <c r="A568" t="str">
        <f t="shared" si="8"/>
        <v>NOVO-07N7-Standard-Z4</v>
      </c>
      <c r="B568" t="s">
        <v>29</v>
      </c>
      <c r="C568" t="s">
        <v>112</v>
      </c>
      <c r="D568" t="s">
        <v>262</v>
      </c>
      <c r="E568" t="s">
        <v>33</v>
      </c>
      <c r="F568" t="s">
        <v>168</v>
      </c>
      <c r="G568" s="11">
        <v>12444.715817746232</v>
      </c>
    </row>
    <row r="569" spans="1:7" hidden="1">
      <c r="A569" t="str">
        <f t="shared" si="8"/>
        <v>NOVO-07N8-Plus-Z4</v>
      </c>
      <c r="B569" t="s">
        <v>29</v>
      </c>
      <c r="C569" t="s">
        <v>116</v>
      </c>
      <c r="E569" t="s">
        <v>10</v>
      </c>
      <c r="F569" t="s">
        <v>168</v>
      </c>
      <c r="G569" s="11">
        <v>25580.804736478367</v>
      </c>
    </row>
    <row r="570" spans="1:7" hidden="1">
      <c r="A570" t="str">
        <f t="shared" si="8"/>
        <v>NOVO-07NH-Standard-Z4</v>
      </c>
      <c r="B570" t="s">
        <v>29</v>
      </c>
      <c r="C570" t="s">
        <v>121</v>
      </c>
      <c r="D570" t="s">
        <v>263</v>
      </c>
      <c r="E570" t="s">
        <v>33</v>
      </c>
      <c r="F570" t="s">
        <v>168</v>
      </c>
      <c r="G570" s="11">
        <v>15123.786584066602</v>
      </c>
    </row>
    <row r="571" spans="1:7" hidden="1">
      <c r="A571" t="str">
        <f t="shared" si="8"/>
        <v>NOVO-07NA-Plus-Z4</v>
      </c>
      <c r="B571" t="s">
        <v>29</v>
      </c>
      <c r="C571" t="s">
        <v>125</v>
      </c>
      <c r="E571" t="s">
        <v>10</v>
      </c>
      <c r="F571" t="s">
        <v>168</v>
      </c>
      <c r="G571" s="11">
        <v>31543.897732481768</v>
      </c>
    </row>
    <row r="572" spans="1:7" hidden="1">
      <c r="A572" t="str">
        <f t="shared" si="8"/>
        <v>NOVO-07UA-Standard-Z4</v>
      </c>
      <c r="B572" t="s">
        <v>29</v>
      </c>
      <c r="C572" t="s">
        <v>130</v>
      </c>
      <c r="D572" t="s">
        <v>264</v>
      </c>
      <c r="E572" t="s">
        <v>33</v>
      </c>
      <c r="F572" t="s">
        <v>168</v>
      </c>
      <c r="G572" s="11">
        <v>19876.976653344675</v>
      </c>
    </row>
    <row r="573" spans="1:7" hidden="1">
      <c r="A573" t="str">
        <f t="shared" si="8"/>
        <v>NOVO-07UB-Plus-Z4</v>
      </c>
      <c r="B573" t="s">
        <v>29</v>
      </c>
      <c r="C573" t="s">
        <v>133</v>
      </c>
      <c r="E573" t="s">
        <v>10</v>
      </c>
      <c r="F573" t="s">
        <v>168</v>
      </c>
      <c r="G573" s="11">
        <v>38025.520554224597</v>
      </c>
    </row>
    <row r="574" spans="1:7" hidden="1">
      <c r="A574" t="str">
        <f t="shared" si="8"/>
        <v>NOVO-07US-Standard-MINI</v>
      </c>
      <c r="B574" t="s">
        <v>29</v>
      </c>
      <c r="C574" t="s">
        <v>34</v>
      </c>
      <c r="D574" t="s">
        <v>254</v>
      </c>
      <c r="E574" t="s">
        <v>33</v>
      </c>
      <c r="F574" t="s">
        <v>124</v>
      </c>
      <c r="G574" s="11">
        <v>5012.4549821477876</v>
      </c>
    </row>
    <row r="575" spans="1:7" hidden="1">
      <c r="A575" t="str">
        <f t="shared" si="8"/>
        <v>NOVO-07D7-Plus-MINI</v>
      </c>
      <c r="B575" t="s">
        <v>29</v>
      </c>
      <c r="C575" t="s">
        <v>42</v>
      </c>
      <c r="E575" t="s">
        <v>10</v>
      </c>
      <c r="F575" t="s">
        <v>124</v>
      </c>
      <c r="G575" s="11">
        <v>8728.5853999470091</v>
      </c>
    </row>
    <row r="576" spans="1:7" hidden="1">
      <c r="A576" t="str">
        <f t="shared" si="8"/>
        <v>NOVO-07NG-Standard-MINI</v>
      </c>
      <c r="B576" t="s">
        <v>29</v>
      </c>
      <c r="C576" t="s">
        <v>49</v>
      </c>
      <c r="D576" t="s">
        <v>255</v>
      </c>
      <c r="E576" t="s">
        <v>33</v>
      </c>
      <c r="F576" t="s">
        <v>124</v>
      </c>
      <c r="G576" s="11">
        <v>8642.163762323773</v>
      </c>
    </row>
    <row r="577" spans="1:7" hidden="1">
      <c r="A577" t="str">
        <f t="shared" si="8"/>
        <v>NOVO-07NM-Plus-MINI</v>
      </c>
      <c r="B577" t="s">
        <v>29</v>
      </c>
      <c r="C577" t="s">
        <v>53</v>
      </c>
      <c r="E577" t="s">
        <v>10</v>
      </c>
      <c r="F577" t="s">
        <v>124</v>
      </c>
      <c r="G577" s="11">
        <v>17630.014075140494</v>
      </c>
    </row>
    <row r="578" spans="1:7" hidden="1">
      <c r="A578" t="str">
        <f t="shared" ref="A578:A641" si="9">B578&amp;"-"&amp;C578&amp;"-"&amp;E578&amp;"-"&amp;F578</f>
        <v>NOVO-07DA-Standard-MINI</v>
      </c>
      <c r="B578" t="s">
        <v>29</v>
      </c>
      <c r="C578" t="s">
        <v>58</v>
      </c>
      <c r="D578" t="s">
        <v>256</v>
      </c>
      <c r="E578" t="s">
        <v>33</v>
      </c>
      <c r="F578" t="s">
        <v>124</v>
      </c>
      <c r="G578" s="11">
        <v>13654.61874447156</v>
      </c>
    </row>
    <row r="579" spans="1:7" hidden="1">
      <c r="A579" t="str">
        <f t="shared" si="9"/>
        <v>NOVO-07DB-Plus-MINI</v>
      </c>
      <c r="B579" t="s">
        <v>29</v>
      </c>
      <c r="C579" t="s">
        <v>62</v>
      </c>
      <c r="E579" t="s">
        <v>10</v>
      </c>
      <c r="F579" t="s">
        <v>124</v>
      </c>
      <c r="G579" s="11">
        <v>27568.502401812832</v>
      </c>
    </row>
    <row r="580" spans="1:7" hidden="1">
      <c r="A580" t="str">
        <f t="shared" si="9"/>
        <v>NOVO-07DD-Standard-MINI</v>
      </c>
      <c r="B580" t="s">
        <v>29</v>
      </c>
      <c r="C580" t="s">
        <v>67</v>
      </c>
      <c r="D580" t="s">
        <v>257</v>
      </c>
      <c r="E580" t="s">
        <v>33</v>
      </c>
      <c r="F580" t="s">
        <v>124</v>
      </c>
      <c r="G580" s="11">
        <v>8728.5853999470091</v>
      </c>
    </row>
    <row r="581" spans="1:7" hidden="1">
      <c r="A581" t="str">
        <f t="shared" si="9"/>
        <v>NOVO-07DE-Plus-MINI</v>
      </c>
      <c r="B581" t="s">
        <v>29</v>
      </c>
      <c r="C581" t="s">
        <v>71</v>
      </c>
      <c r="E581" t="s">
        <v>10</v>
      </c>
      <c r="F581" t="s">
        <v>124</v>
      </c>
      <c r="G581" s="11">
        <v>17802.85735038697</v>
      </c>
    </row>
    <row r="582" spans="1:7" hidden="1">
      <c r="A582" t="str">
        <f t="shared" si="9"/>
        <v>NOVO-07NX-Standard-MINI</v>
      </c>
      <c r="B582" t="s">
        <v>29</v>
      </c>
      <c r="C582" t="s">
        <v>76</v>
      </c>
      <c r="D582" t="s">
        <v>258</v>
      </c>
      <c r="E582" t="s">
        <v>33</v>
      </c>
      <c r="F582" t="s">
        <v>124</v>
      </c>
      <c r="G582" s="11">
        <v>10716.283065281477</v>
      </c>
    </row>
    <row r="583" spans="1:7" hidden="1">
      <c r="A583" t="str">
        <f t="shared" si="9"/>
        <v>NOVO-07NY-Plus-MINI</v>
      </c>
      <c r="B583" t="s">
        <v>29</v>
      </c>
      <c r="C583" t="s">
        <v>80</v>
      </c>
      <c r="E583" t="s">
        <v>10</v>
      </c>
      <c r="F583" t="s">
        <v>124</v>
      </c>
      <c r="G583" s="11">
        <v>21346.144492939718</v>
      </c>
    </row>
    <row r="584" spans="1:7" hidden="1">
      <c r="A584" t="str">
        <f t="shared" si="9"/>
        <v>NOVO-07N1-Standard-MINI</v>
      </c>
      <c r="B584" t="s">
        <v>29</v>
      </c>
      <c r="C584" t="s">
        <v>85</v>
      </c>
      <c r="D584" t="s">
        <v>259</v>
      </c>
      <c r="E584" t="s">
        <v>33</v>
      </c>
      <c r="F584" t="s">
        <v>124</v>
      </c>
      <c r="G584" s="11">
        <v>13741.040382094798</v>
      </c>
    </row>
    <row r="585" spans="1:7" hidden="1">
      <c r="A585" t="str">
        <f t="shared" si="9"/>
        <v>NOVO-07N2-Plus-MINI</v>
      </c>
      <c r="B585" t="s">
        <v>29</v>
      </c>
      <c r="C585" t="s">
        <v>89</v>
      </c>
      <c r="E585" t="s">
        <v>10</v>
      </c>
      <c r="F585" t="s">
        <v>124</v>
      </c>
      <c r="G585" s="11">
        <v>27741.345677059307</v>
      </c>
    </row>
    <row r="586" spans="1:7" hidden="1">
      <c r="A586" t="str">
        <f t="shared" si="9"/>
        <v>NOVO-07N4-Standard-MINI</v>
      </c>
      <c r="B586" t="s">
        <v>29</v>
      </c>
      <c r="C586" t="s">
        <v>94</v>
      </c>
      <c r="D586" t="s">
        <v>260</v>
      </c>
      <c r="E586" t="s">
        <v>33</v>
      </c>
      <c r="F586" t="s">
        <v>124</v>
      </c>
      <c r="G586" s="11">
        <v>17370.749162270782</v>
      </c>
    </row>
    <row r="587" spans="1:7" hidden="1">
      <c r="A587" t="str">
        <f t="shared" si="9"/>
        <v>NOVO-07N5-Plus-MINI</v>
      </c>
      <c r="B587" t="s">
        <v>29</v>
      </c>
      <c r="C587" t="s">
        <v>98</v>
      </c>
      <c r="E587" t="s">
        <v>10</v>
      </c>
      <c r="F587" t="s">
        <v>124</v>
      </c>
      <c r="G587" s="11">
        <v>33099.487209700048</v>
      </c>
    </row>
    <row r="588" spans="1:7" hidden="1">
      <c r="A588" t="str">
        <f t="shared" si="9"/>
        <v>NOVO-07NW-Standard-MINI</v>
      </c>
      <c r="B588" t="s">
        <v>29</v>
      </c>
      <c r="C588" t="s">
        <v>103</v>
      </c>
      <c r="D588" t="s">
        <v>261</v>
      </c>
      <c r="E588" t="s">
        <v>33</v>
      </c>
      <c r="F588" t="s">
        <v>124</v>
      </c>
      <c r="G588" s="11">
        <v>8987.8503128167231</v>
      </c>
    </row>
    <row r="589" spans="1:7" hidden="1">
      <c r="A589" t="str">
        <f t="shared" si="9"/>
        <v>NOVO-07NK-Plus-MINI</v>
      </c>
      <c r="B589" t="s">
        <v>29</v>
      </c>
      <c r="C589" t="s">
        <v>107</v>
      </c>
      <c r="E589" t="s">
        <v>10</v>
      </c>
      <c r="F589" t="s">
        <v>124</v>
      </c>
      <c r="G589" s="11">
        <v>18148.543900879922</v>
      </c>
    </row>
    <row r="590" spans="1:7" hidden="1">
      <c r="A590" t="str">
        <f t="shared" si="9"/>
        <v>NOVO-07N7-Standard-MINI</v>
      </c>
      <c r="B590" t="s">
        <v>29</v>
      </c>
      <c r="C590" t="s">
        <v>112</v>
      </c>
      <c r="D590" t="s">
        <v>262</v>
      </c>
      <c r="E590" t="s">
        <v>33</v>
      </c>
      <c r="F590" t="s">
        <v>124</v>
      </c>
      <c r="G590" s="11">
        <v>11148.391253397665</v>
      </c>
    </row>
    <row r="591" spans="1:7" hidden="1">
      <c r="A591" t="str">
        <f t="shared" si="9"/>
        <v>NOVO-07N8-Plus-MINI</v>
      </c>
      <c r="B591" t="s">
        <v>29</v>
      </c>
      <c r="C591" t="s">
        <v>116</v>
      </c>
      <c r="E591" t="s">
        <v>10</v>
      </c>
      <c r="F591" t="s">
        <v>124</v>
      </c>
      <c r="G591" s="11">
        <v>21691.831043432667</v>
      </c>
    </row>
    <row r="592" spans="1:7" hidden="1">
      <c r="A592" t="str">
        <f t="shared" si="9"/>
        <v>NOVO-07NH-Standard-MINI</v>
      </c>
      <c r="B592" t="s">
        <v>29</v>
      </c>
      <c r="C592" t="s">
        <v>121</v>
      </c>
      <c r="D592" t="s">
        <v>263</v>
      </c>
      <c r="E592" t="s">
        <v>33</v>
      </c>
      <c r="F592" t="s">
        <v>124</v>
      </c>
      <c r="G592" s="11">
        <v>13913.883657341274</v>
      </c>
    </row>
    <row r="593" spans="1:7" hidden="1">
      <c r="A593" t="str">
        <f t="shared" si="9"/>
        <v>NOVO-07NA-Plus-MINI</v>
      </c>
      <c r="B593" t="s">
        <v>29</v>
      </c>
      <c r="C593" t="s">
        <v>125</v>
      </c>
      <c r="E593" t="s">
        <v>10</v>
      </c>
      <c r="F593" t="s">
        <v>124</v>
      </c>
      <c r="G593" s="11">
        <v>27827.767314682547</v>
      </c>
    </row>
    <row r="594" spans="1:7" hidden="1">
      <c r="A594" t="str">
        <f t="shared" si="9"/>
        <v>NOVO-07UA-Standard-MINI</v>
      </c>
      <c r="B594" t="s">
        <v>29</v>
      </c>
      <c r="C594" t="s">
        <v>130</v>
      </c>
      <c r="D594" t="s">
        <v>264</v>
      </c>
      <c r="E594" t="s">
        <v>33</v>
      </c>
      <c r="F594" t="s">
        <v>124</v>
      </c>
      <c r="G594" s="11">
        <v>17889.27898801021</v>
      </c>
    </row>
    <row r="595" spans="1:7" hidden="1">
      <c r="A595" t="str">
        <f t="shared" si="9"/>
        <v>NOVO-07UB-Plus-MINI</v>
      </c>
      <c r="B595" t="s">
        <v>29</v>
      </c>
      <c r="C595" t="s">
        <v>133</v>
      </c>
      <c r="E595" t="s">
        <v>10</v>
      </c>
      <c r="F595" t="s">
        <v>124</v>
      </c>
      <c r="G595" s="11">
        <v>33790.860310685952</v>
      </c>
    </row>
    <row r="596" spans="1:7" hidden="1">
      <c r="A596" t="str">
        <f t="shared" si="9"/>
        <v>NOVO-07US-Standard-JCW</v>
      </c>
      <c r="B596" t="s">
        <v>29</v>
      </c>
      <c r="C596" t="s">
        <v>34</v>
      </c>
      <c r="D596" t="s">
        <v>254</v>
      </c>
      <c r="E596" t="s">
        <v>33</v>
      </c>
      <c r="F596" t="s">
        <v>92</v>
      </c>
      <c r="G596" s="11">
        <v>5444.5631702639766</v>
      </c>
    </row>
    <row r="597" spans="1:7" hidden="1">
      <c r="A597" t="str">
        <f t="shared" si="9"/>
        <v>NOVO-07D7-Plus-JCW</v>
      </c>
      <c r="B597" t="s">
        <v>29</v>
      </c>
      <c r="C597" t="s">
        <v>42</v>
      </c>
      <c r="E597" t="s">
        <v>10</v>
      </c>
      <c r="F597" t="s">
        <v>92</v>
      </c>
      <c r="G597" s="11">
        <v>9160.6935880631991</v>
      </c>
    </row>
    <row r="598" spans="1:7" hidden="1">
      <c r="A598" t="str">
        <f t="shared" si="9"/>
        <v>NOVO-07NG-Standard-JCW</v>
      </c>
      <c r="B598" t="s">
        <v>29</v>
      </c>
      <c r="C598" t="s">
        <v>49</v>
      </c>
      <c r="D598" t="s">
        <v>255</v>
      </c>
      <c r="E598" t="s">
        <v>33</v>
      </c>
      <c r="F598" t="s">
        <v>92</v>
      </c>
      <c r="G598" s="11">
        <v>9333.5368633096732</v>
      </c>
    </row>
    <row r="599" spans="1:7" hidden="1">
      <c r="A599" t="str">
        <f t="shared" si="9"/>
        <v>NOVO-07NM-Plus-JCW</v>
      </c>
      <c r="B599" t="s">
        <v>29</v>
      </c>
      <c r="C599" t="s">
        <v>53</v>
      </c>
      <c r="E599" t="s">
        <v>10</v>
      </c>
      <c r="F599" t="s">
        <v>92</v>
      </c>
      <c r="G599" s="11">
        <v>18494.230451372874</v>
      </c>
    </row>
    <row r="600" spans="1:7" hidden="1">
      <c r="A600" t="str">
        <f t="shared" si="9"/>
        <v>NOVO-07DA-Standard-JCW</v>
      </c>
      <c r="B600" t="s">
        <v>29</v>
      </c>
      <c r="C600" t="s">
        <v>58</v>
      </c>
      <c r="D600" t="s">
        <v>256</v>
      </c>
      <c r="E600" t="s">
        <v>33</v>
      </c>
      <c r="F600" t="s">
        <v>92</v>
      </c>
      <c r="G600" s="11">
        <v>14605.256758327176</v>
      </c>
    </row>
    <row r="601" spans="1:7" hidden="1">
      <c r="A601" t="str">
        <f t="shared" si="9"/>
        <v>NOVO-07DB-Plus-JCW</v>
      </c>
      <c r="B601" t="s">
        <v>29</v>
      </c>
      <c r="C601" t="s">
        <v>62</v>
      </c>
      <c r="E601" t="s">
        <v>10</v>
      </c>
      <c r="F601" t="s">
        <v>92</v>
      </c>
      <c r="G601" s="11">
        <v>27914.188952305783</v>
      </c>
    </row>
    <row r="602" spans="1:7" hidden="1">
      <c r="A602" t="str">
        <f t="shared" si="9"/>
        <v>NOVO-07DD-Standard-JCW</v>
      </c>
      <c r="B602" t="s">
        <v>29</v>
      </c>
      <c r="C602" t="s">
        <v>67</v>
      </c>
      <c r="D602" t="s">
        <v>257</v>
      </c>
      <c r="E602" t="s">
        <v>33</v>
      </c>
      <c r="F602" t="s">
        <v>92</v>
      </c>
      <c r="G602" s="11">
        <v>9419.9585009329112</v>
      </c>
    </row>
    <row r="603" spans="1:7" hidden="1">
      <c r="A603" t="str">
        <f t="shared" si="9"/>
        <v>NOVO-07DE-Plus-JCW</v>
      </c>
      <c r="B603" t="s">
        <v>29</v>
      </c>
      <c r="C603" t="s">
        <v>71</v>
      </c>
      <c r="E603" t="s">
        <v>10</v>
      </c>
      <c r="F603" t="s">
        <v>92</v>
      </c>
      <c r="G603" s="11">
        <v>18580.65208899611</v>
      </c>
    </row>
    <row r="604" spans="1:7" hidden="1">
      <c r="A604" t="str">
        <f t="shared" si="9"/>
        <v>NOVO-07NX-Standard-JCW</v>
      </c>
      <c r="B604" t="s">
        <v>29</v>
      </c>
      <c r="C604" t="s">
        <v>76</v>
      </c>
      <c r="D604" t="s">
        <v>258</v>
      </c>
      <c r="E604" t="s">
        <v>33</v>
      </c>
      <c r="F604" t="s">
        <v>92</v>
      </c>
      <c r="G604" s="11">
        <v>11321.234528644141</v>
      </c>
    </row>
    <row r="605" spans="1:7" hidden="1">
      <c r="A605" t="str">
        <f t="shared" si="9"/>
        <v>NOVO-07NY-Plus-JCW</v>
      </c>
      <c r="B605" t="s">
        <v>29</v>
      </c>
      <c r="C605" t="s">
        <v>80</v>
      </c>
      <c r="E605" t="s">
        <v>10</v>
      </c>
      <c r="F605" t="s">
        <v>92</v>
      </c>
      <c r="G605" s="11">
        <v>22210.360869172095</v>
      </c>
    </row>
    <row r="606" spans="1:7" hidden="1">
      <c r="A606" t="str">
        <f t="shared" si="9"/>
        <v>NOVO-07N1-Standard-JCW</v>
      </c>
      <c r="B606" t="s">
        <v>29</v>
      </c>
      <c r="C606" t="s">
        <v>85</v>
      </c>
      <c r="D606" t="s">
        <v>259</v>
      </c>
      <c r="E606" t="s">
        <v>33</v>
      </c>
      <c r="F606" t="s">
        <v>92</v>
      </c>
      <c r="G606" s="11">
        <v>14691.678395950412</v>
      </c>
    </row>
    <row r="607" spans="1:7" hidden="1">
      <c r="A607" t="str">
        <f t="shared" si="9"/>
        <v>NOVO-07N2-Plus-JCW</v>
      </c>
      <c r="B607" t="s">
        <v>29</v>
      </c>
      <c r="C607" t="s">
        <v>89</v>
      </c>
      <c r="E607" t="s">
        <v>10</v>
      </c>
      <c r="F607" t="s">
        <v>92</v>
      </c>
      <c r="G607" s="11">
        <v>28519.140415668448</v>
      </c>
    </row>
    <row r="608" spans="1:7" hidden="1">
      <c r="A608" t="str">
        <f t="shared" si="9"/>
        <v>NOVO-07N4-Standard-JCW</v>
      </c>
      <c r="B608" t="s">
        <v>29</v>
      </c>
      <c r="C608" t="s">
        <v>94</v>
      </c>
      <c r="D608" t="s">
        <v>260</v>
      </c>
      <c r="E608" t="s">
        <v>33</v>
      </c>
      <c r="F608" t="s">
        <v>92</v>
      </c>
      <c r="G608" s="11">
        <v>18494.230451372874</v>
      </c>
    </row>
    <row r="609" spans="1:7" hidden="1">
      <c r="A609" t="str">
        <f t="shared" si="9"/>
        <v>NOVO-07N5-Plus-JCW</v>
      </c>
      <c r="B609" t="s">
        <v>29</v>
      </c>
      <c r="C609" t="s">
        <v>98</v>
      </c>
      <c r="E609" t="s">
        <v>10</v>
      </c>
      <c r="F609" t="s">
        <v>92</v>
      </c>
      <c r="G609" s="11">
        <v>34568.655049295092</v>
      </c>
    </row>
    <row r="610" spans="1:7" hidden="1">
      <c r="A610" t="str">
        <f t="shared" si="9"/>
        <v>NOVO-07NW-Standard-JCW</v>
      </c>
      <c r="B610" t="s">
        <v>29</v>
      </c>
      <c r="C610" t="s">
        <v>103</v>
      </c>
      <c r="D610" t="s">
        <v>261</v>
      </c>
      <c r="E610" t="s">
        <v>33</v>
      </c>
      <c r="F610" t="s">
        <v>92</v>
      </c>
      <c r="G610" s="11">
        <v>9679.2234138026251</v>
      </c>
    </row>
    <row r="611" spans="1:7" hidden="1">
      <c r="A611" t="str">
        <f t="shared" si="9"/>
        <v>NOVO-07NK-Plus-JCW</v>
      </c>
      <c r="B611" t="s">
        <v>29</v>
      </c>
      <c r="C611" t="s">
        <v>107</v>
      </c>
      <c r="E611" t="s">
        <v>10</v>
      </c>
      <c r="F611" t="s">
        <v>92</v>
      </c>
      <c r="G611" s="11">
        <v>18926.338639489062</v>
      </c>
    </row>
    <row r="612" spans="1:7" hidden="1">
      <c r="A612" t="str">
        <f t="shared" si="9"/>
        <v>NOVO-07N7-Standard-JCW</v>
      </c>
      <c r="B612" t="s">
        <v>29</v>
      </c>
      <c r="C612" t="s">
        <v>112</v>
      </c>
      <c r="D612" t="s">
        <v>262</v>
      </c>
      <c r="E612" t="s">
        <v>33</v>
      </c>
      <c r="F612" t="s">
        <v>92</v>
      </c>
      <c r="G612" s="11">
        <v>11753.342716760329</v>
      </c>
    </row>
    <row r="613" spans="1:7" hidden="1">
      <c r="A613" t="str">
        <f t="shared" si="9"/>
        <v>NOVO-07N8-Plus-JCW</v>
      </c>
      <c r="B613" t="s">
        <v>29</v>
      </c>
      <c r="C613" t="s">
        <v>116</v>
      </c>
      <c r="E613" t="s">
        <v>10</v>
      </c>
      <c r="F613" t="s">
        <v>92</v>
      </c>
      <c r="G613" s="11">
        <v>22642.469057288283</v>
      </c>
    </row>
    <row r="614" spans="1:7" hidden="1">
      <c r="A614" t="str">
        <f t="shared" si="9"/>
        <v>NOVO-07NH-Standard-JCW</v>
      </c>
      <c r="B614" t="s">
        <v>29</v>
      </c>
      <c r="C614" t="s">
        <v>121</v>
      </c>
      <c r="D614" t="s">
        <v>263</v>
      </c>
      <c r="E614" t="s">
        <v>33</v>
      </c>
      <c r="F614" t="s">
        <v>92</v>
      </c>
      <c r="G614" s="11">
        <v>14864.521671196888</v>
      </c>
    </row>
    <row r="615" spans="1:7" hidden="1">
      <c r="A615" t="str">
        <f t="shared" si="9"/>
        <v>NOVO-07NA-Plus-JCW</v>
      </c>
      <c r="B615" t="s">
        <v>29</v>
      </c>
      <c r="C615" t="s">
        <v>125</v>
      </c>
      <c r="E615" t="s">
        <v>10</v>
      </c>
      <c r="F615" t="s">
        <v>92</v>
      </c>
      <c r="G615" s="11">
        <v>28691.983690914923</v>
      </c>
    </row>
    <row r="616" spans="1:7" hidden="1">
      <c r="A616" t="str">
        <f t="shared" si="9"/>
        <v>NOVO-07UA-Standard-JCW</v>
      </c>
      <c r="B616" t="s">
        <v>29</v>
      </c>
      <c r="C616" t="s">
        <v>130</v>
      </c>
      <c r="D616" t="s">
        <v>264</v>
      </c>
      <c r="E616" t="s">
        <v>33</v>
      </c>
      <c r="F616" t="s">
        <v>92</v>
      </c>
      <c r="G616" s="11">
        <v>19185.603552358774</v>
      </c>
    </row>
    <row r="617" spans="1:7" hidden="1">
      <c r="A617" t="str">
        <f t="shared" si="9"/>
        <v>NOVO-07UB-Plus-JCW</v>
      </c>
      <c r="B617" t="s">
        <v>29</v>
      </c>
      <c r="C617" t="s">
        <v>133</v>
      </c>
      <c r="E617" t="s">
        <v>10</v>
      </c>
      <c r="F617" t="s">
        <v>92</v>
      </c>
      <c r="G617" s="11">
        <v>35346.449787904225</v>
      </c>
    </row>
    <row r="618" spans="1:7" hidden="1">
      <c r="A618" t="str">
        <f t="shared" si="9"/>
        <v>NOVO-07UN-Standard-MINI BEV</v>
      </c>
      <c r="B618" t="s">
        <v>29</v>
      </c>
      <c r="C618" s="7" t="s">
        <v>137</v>
      </c>
      <c r="D618" t="s">
        <v>265</v>
      </c>
      <c r="E618" t="s">
        <v>33</v>
      </c>
      <c r="F618" t="s">
        <v>128</v>
      </c>
      <c r="G618" s="11">
        <v>3024.7573168133204</v>
      </c>
    </row>
    <row r="619" spans="1:7" hidden="1">
      <c r="A619" t="str">
        <f t="shared" si="9"/>
        <v>NOVO-07UP-Plus-MINI BEV</v>
      </c>
      <c r="B619" t="s">
        <v>29</v>
      </c>
      <c r="C619" s="7" t="s">
        <v>141</v>
      </c>
      <c r="E619" t="s">
        <v>10</v>
      </c>
      <c r="F619" t="s">
        <v>128</v>
      </c>
      <c r="G619" s="11">
        <v>13481.775469225084</v>
      </c>
    </row>
    <row r="620" spans="1:7" hidden="1">
      <c r="A620" t="str">
        <f t="shared" si="9"/>
        <v>NOVO-07UQ-Standard-MINI BEV</v>
      </c>
      <c r="B620" t="s">
        <v>29</v>
      </c>
      <c r="C620" s="7" t="s">
        <v>146</v>
      </c>
      <c r="D620" t="s">
        <v>266</v>
      </c>
      <c r="E620" t="s">
        <v>33</v>
      </c>
      <c r="F620" t="s">
        <v>128</v>
      </c>
      <c r="G620" s="11">
        <v>4580.3467940315995</v>
      </c>
    </row>
    <row r="621" spans="1:7" hidden="1">
      <c r="A621" t="str">
        <f t="shared" si="9"/>
        <v>NOVO-07UR-Plus-MINI BEV</v>
      </c>
      <c r="B621" t="s">
        <v>29</v>
      </c>
      <c r="C621" s="7" t="s">
        <v>150</v>
      </c>
      <c r="E621" t="s">
        <v>10</v>
      </c>
      <c r="F621" t="s">
        <v>128</v>
      </c>
      <c r="G621" s="11">
        <v>16333.68951079193</v>
      </c>
    </row>
    <row r="622" spans="1:7" hidden="1">
      <c r="A622" t="str">
        <f>B622&amp;"-"&amp;C622&amp;"-"&amp;E622&amp;"-"&amp;F622</f>
        <v>NOVO-07UN-Standard-I3 BEV</v>
      </c>
      <c r="B622" t="s">
        <v>29</v>
      </c>
      <c r="C622" s="7" t="s">
        <v>137</v>
      </c>
      <c r="D622" t="s">
        <v>136</v>
      </c>
      <c r="E622" t="s">
        <v>33</v>
      </c>
      <c r="F622" s="7" t="s">
        <v>79</v>
      </c>
      <c r="G622" s="11">
        <v>3629.7087801759844</v>
      </c>
    </row>
    <row r="623" spans="1:7" hidden="1">
      <c r="A623" t="str">
        <f t="shared" si="9"/>
        <v>NOVO-07UP-Plus-I3 BEV</v>
      </c>
      <c r="B623" t="s">
        <v>29</v>
      </c>
      <c r="C623" s="7" t="s">
        <v>141</v>
      </c>
      <c r="E623" t="s">
        <v>10</v>
      </c>
      <c r="F623" s="7" t="s">
        <v>79</v>
      </c>
      <c r="G623" s="11">
        <v>14605.256758327176</v>
      </c>
    </row>
    <row r="624" spans="1:7" hidden="1">
      <c r="A624" t="str">
        <f t="shared" si="9"/>
        <v>NOVO-07UQ-Standard-I3 BEV</v>
      </c>
      <c r="B624" t="s">
        <v>29</v>
      </c>
      <c r="C624" s="7" t="s">
        <v>146</v>
      </c>
      <c r="D624" t="s">
        <v>145</v>
      </c>
      <c r="E624" t="s">
        <v>33</v>
      </c>
      <c r="F624" s="7" t="s">
        <v>79</v>
      </c>
      <c r="G624" s="11">
        <v>5444.5631702639766</v>
      </c>
    </row>
    <row r="625" spans="1:7" hidden="1">
      <c r="A625" t="str">
        <f t="shared" si="9"/>
        <v>NOVO-07UR-Plus-I3 BEV</v>
      </c>
      <c r="B625" t="s">
        <v>29</v>
      </c>
      <c r="C625" s="7" t="s">
        <v>150</v>
      </c>
      <c r="E625" t="s">
        <v>10</v>
      </c>
      <c r="F625" s="7" t="s">
        <v>79</v>
      </c>
      <c r="G625" s="11">
        <v>18148.543900879922</v>
      </c>
    </row>
    <row r="626" spans="1:7" hidden="1">
      <c r="A626" t="str">
        <f t="shared" si="9"/>
        <v>NOVO-07US-Standard-I3 REX</v>
      </c>
      <c r="B626" t="s">
        <v>29</v>
      </c>
      <c r="C626" t="s">
        <v>34</v>
      </c>
      <c r="D626" t="s">
        <v>254</v>
      </c>
      <c r="E626" t="s">
        <v>33</v>
      </c>
      <c r="F626" t="s">
        <v>83</v>
      </c>
      <c r="G626" s="11">
        <v>5876.6713583801647</v>
      </c>
    </row>
    <row r="627" spans="1:7" hidden="1">
      <c r="A627" t="str">
        <f t="shared" si="9"/>
        <v>NOVO-07D7-Plus-I3 REX</v>
      </c>
      <c r="B627" t="s">
        <v>29</v>
      </c>
      <c r="C627" t="s">
        <v>42</v>
      </c>
      <c r="E627" t="s">
        <v>10</v>
      </c>
      <c r="F627" t="s">
        <v>83</v>
      </c>
      <c r="G627" s="11">
        <v>11234.812891020903</v>
      </c>
    </row>
    <row r="628" spans="1:7" hidden="1">
      <c r="A628" t="str">
        <f t="shared" si="9"/>
        <v>NOVO-07NG-Standard-I3 REX</v>
      </c>
      <c r="B628" t="s">
        <v>29</v>
      </c>
      <c r="C628" t="s">
        <v>49</v>
      </c>
      <c r="D628" t="s">
        <v>255</v>
      </c>
      <c r="E628" t="s">
        <v>33</v>
      </c>
      <c r="F628" t="s">
        <v>83</v>
      </c>
      <c r="G628" s="11">
        <v>6308.7795464963538</v>
      </c>
    </row>
    <row r="629" spans="1:7" hidden="1">
      <c r="A629" t="str">
        <f t="shared" si="9"/>
        <v>NOVO-07NM-Plus-I3 REX</v>
      </c>
      <c r="B629" t="s">
        <v>29</v>
      </c>
      <c r="C629" t="s">
        <v>53</v>
      </c>
      <c r="E629" t="s">
        <v>10</v>
      </c>
      <c r="F629" t="s">
        <v>83</v>
      </c>
      <c r="G629" s="11">
        <v>14691.678395950412</v>
      </c>
    </row>
    <row r="630" spans="1:7" hidden="1">
      <c r="A630" t="str">
        <f t="shared" si="9"/>
        <v>NOVO-07DA-Standard-I3 REX</v>
      </c>
      <c r="B630" t="s">
        <v>29</v>
      </c>
      <c r="C630" t="s">
        <v>58</v>
      </c>
      <c r="D630" t="s">
        <v>256</v>
      </c>
      <c r="E630" t="s">
        <v>33</v>
      </c>
      <c r="F630" t="s">
        <v>83</v>
      </c>
      <c r="G630" s="11">
        <v>7086.5742851054929</v>
      </c>
    </row>
    <row r="631" spans="1:7" hidden="1">
      <c r="A631" t="str">
        <f t="shared" si="9"/>
        <v>NOVO-07DB-Plus-I3 REX</v>
      </c>
      <c r="B631" t="s">
        <v>29</v>
      </c>
      <c r="C631" t="s">
        <v>62</v>
      </c>
      <c r="E631" t="s">
        <v>10</v>
      </c>
      <c r="F631" t="s">
        <v>83</v>
      </c>
      <c r="G631" s="11">
        <v>19617.711740474962</v>
      </c>
    </row>
    <row r="632" spans="1:7" hidden="1">
      <c r="A632" t="str">
        <f t="shared" si="9"/>
        <v>NOVO-07DD-Standard-I3 REX</v>
      </c>
      <c r="B632" t="s">
        <v>29</v>
      </c>
      <c r="C632" t="s">
        <v>67</v>
      </c>
      <c r="D632" t="s">
        <v>257</v>
      </c>
      <c r="E632" t="s">
        <v>33</v>
      </c>
      <c r="F632" t="s">
        <v>83</v>
      </c>
      <c r="G632" s="11">
        <v>8728.5853999470091</v>
      </c>
    </row>
    <row r="633" spans="1:7" hidden="1">
      <c r="A633" t="str">
        <f t="shared" si="9"/>
        <v>NOVO-07DE-Plus-I3 REX</v>
      </c>
      <c r="B633" t="s">
        <v>29</v>
      </c>
      <c r="C633" t="s">
        <v>71</v>
      </c>
      <c r="E633" t="s">
        <v>10</v>
      </c>
      <c r="F633" t="s">
        <v>83</v>
      </c>
      <c r="G633" s="11">
        <v>17197.905887024306</v>
      </c>
    </row>
    <row r="634" spans="1:7" hidden="1">
      <c r="A634" t="str">
        <f t="shared" si="9"/>
        <v>NOVO-07NX-Standard-I3 REX</v>
      </c>
      <c r="B634" t="s">
        <v>29</v>
      </c>
      <c r="C634" t="s">
        <v>76</v>
      </c>
      <c r="D634" t="s">
        <v>258</v>
      </c>
      <c r="E634" t="s">
        <v>33</v>
      </c>
      <c r="F634" t="s">
        <v>83</v>
      </c>
      <c r="G634" s="11">
        <v>8815.0070375702471</v>
      </c>
    </row>
    <row r="635" spans="1:7" hidden="1">
      <c r="A635" t="str">
        <f t="shared" si="9"/>
        <v>NOVO-07NY-Plus-I3 REX</v>
      </c>
      <c r="B635" t="s">
        <v>29</v>
      </c>
      <c r="C635" t="s">
        <v>80</v>
      </c>
      <c r="E635" t="s">
        <v>10</v>
      </c>
      <c r="F635" t="s">
        <v>83</v>
      </c>
      <c r="G635" s="11">
        <v>21518.987768186194</v>
      </c>
    </row>
    <row r="636" spans="1:7" hidden="1">
      <c r="A636" t="str">
        <f t="shared" si="9"/>
        <v>NOVO-07N1-Standard-I3 REX</v>
      </c>
      <c r="B636" t="s">
        <v>29</v>
      </c>
      <c r="C636" t="s">
        <v>85</v>
      </c>
      <c r="D636" t="s">
        <v>259</v>
      </c>
      <c r="E636" t="s">
        <v>33</v>
      </c>
      <c r="F636" t="s">
        <v>83</v>
      </c>
      <c r="G636" s="11">
        <v>9160.6935880631991</v>
      </c>
    </row>
    <row r="637" spans="1:7" hidden="1">
      <c r="A637" t="str">
        <f t="shared" si="9"/>
        <v>NOVO-07N2-Plus-I3 REX</v>
      </c>
      <c r="B637" t="s">
        <v>29</v>
      </c>
      <c r="C637" t="s">
        <v>89</v>
      </c>
      <c r="E637" t="s">
        <v>10</v>
      </c>
      <c r="F637" t="s">
        <v>83</v>
      </c>
      <c r="G637" s="11">
        <v>21864.674318679143</v>
      </c>
    </row>
    <row r="638" spans="1:7" hidden="1">
      <c r="A638" t="str">
        <f t="shared" si="9"/>
        <v>NOVO-07N4-Standard-I3 REX</v>
      </c>
      <c r="B638" t="s">
        <v>29</v>
      </c>
      <c r="C638" t="s">
        <v>94</v>
      </c>
      <c r="D638" t="s">
        <v>260</v>
      </c>
      <c r="E638" t="s">
        <v>33</v>
      </c>
      <c r="F638" t="s">
        <v>83</v>
      </c>
      <c r="G638" s="11">
        <v>10111.331601918813</v>
      </c>
    </row>
    <row r="639" spans="1:7" hidden="1">
      <c r="A639" t="str">
        <f t="shared" si="9"/>
        <v>NOVO-07N5-Plus-I3 REX</v>
      </c>
      <c r="B639" t="s">
        <v>29</v>
      </c>
      <c r="C639" t="s">
        <v>98</v>
      </c>
      <c r="E639" t="s">
        <v>10</v>
      </c>
      <c r="F639" t="s">
        <v>83</v>
      </c>
      <c r="G639" s="11">
        <v>25667.226374101603</v>
      </c>
    </row>
    <row r="640" spans="1:7" hidden="1">
      <c r="A640" t="str">
        <f t="shared" si="9"/>
        <v>NOVO-07NW-Standard-I3 REX</v>
      </c>
      <c r="B640" t="s">
        <v>29</v>
      </c>
      <c r="C640" t="s">
        <v>103</v>
      </c>
      <c r="D640" t="s">
        <v>261</v>
      </c>
      <c r="E640" t="s">
        <v>33</v>
      </c>
      <c r="F640" t="s">
        <v>83</v>
      </c>
      <c r="G640" s="11">
        <v>10370.596514788527</v>
      </c>
    </row>
    <row r="641" spans="1:7" hidden="1">
      <c r="A641" t="str">
        <f t="shared" si="9"/>
        <v>NOVO-07NK-Plus-I3 REX</v>
      </c>
      <c r="B641" t="s">
        <v>29</v>
      </c>
      <c r="C641" t="s">
        <v>107</v>
      </c>
      <c r="E641" t="s">
        <v>10</v>
      </c>
      <c r="F641" t="s">
        <v>83</v>
      </c>
      <c r="G641" s="11">
        <v>18667.073726619346</v>
      </c>
    </row>
    <row r="642" spans="1:7" hidden="1">
      <c r="A642" t="str">
        <f t="shared" ref="A642:A717" si="10">B642&amp;"-"&amp;C642&amp;"-"&amp;E642&amp;"-"&amp;F642</f>
        <v>NOVO-07N7-Standard-I3 REX</v>
      </c>
      <c r="B642" t="s">
        <v>29</v>
      </c>
      <c r="C642" t="s">
        <v>112</v>
      </c>
      <c r="D642" t="s">
        <v>262</v>
      </c>
      <c r="E642" t="s">
        <v>33</v>
      </c>
      <c r="F642" t="s">
        <v>83</v>
      </c>
      <c r="G642" s="11">
        <v>10543.439790035001</v>
      </c>
    </row>
    <row r="643" spans="1:7" hidden="1">
      <c r="A643" t="str">
        <f t="shared" si="10"/>
        <v>NOVO-07N8-Plus-I3 REX</v>
      </c>
      <c r="B643" t="s">
        <v>29</v>
      </c>
      <c r="C643" t="s">
        <v>116</v>
      </c>
      <c r="E643" t="s">
        <v>10</v>
      </c>
      <c r="F643" t="s">
        <v>83</v>
      </c>
      <c r="G643" s="11">
        <v>21951.095956302383</v>
      </c>
    </row>
    <row r="644" spans="1:7" hidden="1">
      <c r="A644" t="str">
        <f t="shared" si="10"/>
        <v>NOVO-07NH-Standard-I3 REX</v>
      </c>
      <c r="B644" t="s">
        <v>29</v>
      </c>
      <c r="C644" t="s">
        <v>121</v>
      </c>
      <c r="D644" t="s">
        <v>263</v>
      </c>
      <c r="E644" t="s">
        <v>33</v>
      </c>
      <c r="F644" t="s">
        <v>83</v>
      </c>
      <c r="G644" s="11">
        <v>10629.861427658239</v>
      </c>
    </row>
    <row r="645" spans="1:7" hidden="1">
      <c r="A645" t="str">
        <f t="shared" si="10"/>
        <v>NOVO-07NA-Plus-I3 REX</v>
      </c>
      <c r="B645" t="s">
        <v>29</v>
      </c>
      <c r="C645" t="s">
        <v>125</v>
      </c>
      <c r="E645" t="s">
        <v>10</v>
      </c>
      <c r="F645" t="s">
        <v>83</v>
      </c>
      <c r="G645" s="11">
        <v>22988.155607781235</v>
      </c>
    </row>
    <row r="646" spans="1:7" hidden="1">
      <c r="A646" t="str">
        <f t="shared" si="10"/>
        <v>NOVO-07UA-Standard-I3 REX</v>
      </c>
      <c r="B646" t="s">
        <v>29</v>
      </c>
      <c r="C646" t="s">
        <v>130</v>
      </c>
      <c r="D646" t="s">
        <v>264</v>
      </c>
      <c r="E646" t="s">
        <v>33</v>
      </c>
      <c r="F646" t="s">
        <v>83</v>
      </c>
      <c r="G646" s="11">
        <v>14432.4134830807</v>
      </c>
    </row>
    <row r="647" spans="1:7" hidden="1">
      <c r="A647" t="str">
        <f t="shared" si="10"/>
        <v>NOVO-07UB-Plus-I3 REX</v>
      </c>
      <c r="B647" t="s">
        <v>29</v>
      </c>
      <c r="C647" t="s">
        <v>133</v>
      </c>
      <c r="E647" t="s">
        <v>10</v>
      </c>
      <c r="F647" t="s">
        <v>83</v>
      </c>
      <c r="G647" s="11">
        <v>30161.151530509964</v>
      </c>
    </row>
    <row r="648" spans="1:7" hidden="1">
      <c r="A648" t="str">
        <f t="shared" si="10"/>
        <v>NOVO-07US-Standard-I8</v>
      </c>
      <c r="B648" t="s">
        <v>29</v>
      </c>
      <c r="C648" t="s">
        <v>34</v>
      </c>
      <c r="D648" t="s">
        <v>254</v>
      </c>
      <c r="E648" t="s">
        <v>33</v>
      </c>
      <c r="F648" t="s">
        <v>88</v>
      </c>
      <c r="G648" s="11">
        <v>6135.9362712498778</v>
      </c>
    </row>
    <row r="649" spans="1:7" hidden="1">
      <c r="A649" t="str">
        <f t="shared" si="10"/>
        <v>NOVO-07D7-Plus-I8</v>
      </c>
      <c r="B649" t="s">
        <v>29</v>
      </c>
      <c r="C649" t="s">
        <v>42</v>
      </c>
      <c r="E649" t="s">
        <v>10</v>
      </c>
      <c r="F649" t="s">
        <v>88</v>
      </c>
      <c r="G649" s="11">
        <v>11580.499441513855</v>
      </c>
    </row>
    <row r="650" spans="1:7" hidden="1">
      <c r="A650" t="str">
        <f t="shared" si="10"/>
        <v>NOVO-07NG-Standard-I8</v>
      </c>
      <c r="B650" t="s">
        <v>29</v>
      </c>
      <c r="C650" t="s">
        <v>49</v>
      </c>
      <c r="D650" t="s">
        <v>255</v>
      </c>
      <c r="E650" t="s">
        <v>33</v>
      </c>
      <c r="F650" t="s">
        <v>88</v>
      </c>
      <c r="G650" s="11">
        <v>9938.4883266723373</v>
      </c>
    </row>
    <row r="651" spans="1:7" hidden="1">
      <c r="A651" t="str">
        <f t="shared" si="10"/>
        <v>NOVO-07NM-Plus-I8</v>
      </c>
      <c r="B651" t="s">
        <v>29</v>
      </c>
      <c r="C651" t="s">
        <v>53</v>
      </c>
      <c r="E651" t="s">
        <v>10</v>
      </c>
      <c r="F651" t="s">
        <v>88</v>
      </c>
      <c r="G651" s="11">
        <v>20309.084841460866</v>
      </c>
    </row>
    <row r="652" spans="1:7" hidden="1">
      <c r="A652" t="str">
        <f t="shared" si="10"/>
        <v>NOVO-07DA-Standard-I8</v>
      </c>
      <c r="B652" t="s">
        <v>29</v>
      </c>
      <c r="C652" t="s">
        <v>58</v>
      </c>
      <c r="D652" t="s">
        <v>256</v>
      </c>
      <c r="E652" t="s">
        <v>33</v>
      </c>
      <c r="F652" t="s">
        <v>88</v>
      </c>
      <c r="G652" s="11">
        <v>16506.532786038406</v>
      </c>
    </row>
    <row r="653" spans="1:7" hidden="1">
      <c r="A653" t="str">
        <f t="shared" si="10"/>
        <v>NOVO-07DB-Plus-I8</v>
      </c>
      <c r="B653" t="s">
        <v>29</v>
      </c>
      <c r="C653" t="s">
        <v>62</v>
      </c>
      <c r="E653" t="s">
        <v>10</v>
      </c>
      <c r="F653" t="s">
        <v>88</v>
      </c>
      <c r="G653" s="11">
        <v>33618.017035439472</v>
      </c>
    </row>
    <row r="654" spans="1:7" hidden="1">
      <c r="A654" t="str">
        <f t="shared" si="10"/>
        <v>NOVO-07DD-Standard-I8</v>
      </c>
      <c r="B654" t="s">
        <v>29</v>
      </c>
      <c r="C654" t="s">
        <v>67</v>
      </c>
      <c r="D654" t="s">
        <v>257</v>
      </c>
      <c r="E654" t="s">
        <v>33</v>
      </c>
      <c r="F654" t="s">
        <v>88</v>
      </c>
      <c r="G654" s="11">
        <v>10111.331601918813</v>
      </c>
    </row>
    <row r="655" spans="1:7" hidden="1">
      <c r="A655" t="str">
        <f t="shared" si="10"/>
        <v>NOVO-07DE-Plus-I8</v>
      </c>
      <c r="B655" t="s">
        <v>29</v>
      </c>
      <c r="C655" t="s">
        <v>71</v>
      </c>
      <c r="E655" t="s">
        <v>10</v>
      </c>
      <c r="F655" t="s">
        <v>88</v>
      </c>
      <c r="G655" s="11">
        <v>20395.506479084102</v>
      </c>
    </row>
    <row r="656" spans="1:7" hidden="1">
      <c r="A656" t="str">
        <f t="shared" si="10"/>
        <v>NOVO-07NX-Standard-I8</v>
      </c>
      <c r="B656" t="s">
        <v>29</v>
      </c>
      <c r="C656" t="s">
        <v>76</v>
      </c>
      <c r="D656" t="s">
        <v>258</v>
      </c>
      <c r="E656" t="s">
        <v>33</v>
      </c>
      <c r="F656" t="s">
        <v>88</v>
      </c>
      <c r="G656" s="11">
        <v>12271.872542499756</v>
      </c>
    </row>
    <row r="657" spans="1:7" hidden="1">
      <c r="A657" t="str">
        <f t="shared" si="10"/>
        <v>NOVO-07NY-Plus-I8</v>
      </c>
      <c r="B657" t="s">
        <v>29</v>
      </c>
      <c r="C657" t="s">
        <v>80</v>
      </c>
      <c r="E657" t="s">
        <v>10</v>
      </c>
      <c r="F657" t="s">
        <v>88</v>
      </c>
      <c r="G657" s="11">
        <v>26877.129300826931</v>
      </c>
    </row>
    <row r="658" spans="1:7" hidden="1">
      <c r="A658" t="str">
        <f t="shared" si="10"/>
        <v>NOVO-07N1-Standard-I8</v>
      </c>
      <c r="B658" t="s">
        <v>29</v>
      </c>
      <c r="C658" t="s">
        <v>85</v>
      </c>
      <c r="D658" t="s">
        <v>259</v>
      </c>
      <c r="E658" t="s">
        <v>33</v>
      </c>
      <c r="F658" t="s">
        <v>88</v>
      </c>
      <c r="G658" s="11">
        <v>16592.954423661642</v>
      </c>
    </row>
    <row r="659" spans="1:7" hidden="1">
      <c r="A659" t="str">
        <f t="shared" si="10"/>
        <v>NOVO-07N2-Plus-I8</v>
      </c>
      <c r="B659" t="s">
        <v>29</v>
      </c>
      <c r="C659" t="s">
        <v>89</v>
      </c>
      <c r="E659" t="s">
        <v>10</v>
      </c>
      <c r="F659" t="s">
        <v>88</v>
      </c>
      <c r="G659" s="11">
        <v>33963.703585932424</v>
      </c>
    </row>
    <row r="660" spans="1:7" hidden="1">
      <c r="A660" t="str">
        <f t="shared" si="10"/>
        <v>NOVO-07N4-Standard-I8</v>
      </c>
      <c r="B660" t="s">
        <v>29</v>
      </c>
      <c r="C660" t="s">
        <v>94</v>
      </c>
      <c r="D660" t="s">
        <v>260</v>
      </c>
      <c r="E660" t="s">
        <v>33</v>
      </c>
      <c r="F660" t="s">
        <v>88</v>
      </c>
      <c r="G660" s="11">
        <v>20481.928116707339</v>
      </c>
    </row>
    <row r="661" spans="1:7" hidden="1">
      <c r="A661" t="str">
        <f t="shared" si="10"/>
        <v>NOVO-07N5-Plus-I8</v>
      </c>
      <c r="B661" t="s">
        <v>29</v>
      </c>
      <c r="C661" t="s">
        <v>98</v>
      </c>
      <c r="E661" t="s">
        <v>10</v>
      </c>
      <c r="F661" t="s">
        <v>88</v>
      </c>
      <c r="G661" s="11">
        <v>39840.374944312593</v>
      </c>
    </row>
    <row r="662" spans="1:7" hidden="1">
      <c r="A662" t="str">
        <f t="shared" si="10"/>
        <v>NOVO-07NW-Standard-I8</v>
      </c>
      <c r="B662" t="s">
        <v>29</v>
      </c>
      <c r="C662" t="s">
        <v>103</v>
      </c>
      <c r="D662" t="s">
        <v>261</v>
      </c>
      <c r="E662" t="s">
        <v>33</v>
      </c>
      <c r="F662" t="s">
        <v>88</v>
      </c>
      <c r="G662" s="11">
        <v>10629.861427658239</v>
      </c>
    </row>
    <row r="663" spans="1:7" hidden="1">
      <c r="A663" t="str">
        <f t="shared" si="10"/>
        <v>NOVO-07NK-Plus-I8</v>
      </c>
      <c r="B663" t="s">
        <v>29</v>
      </c>
      <c r="C663" t="s">
        <v>107</v>
      </c>
      <c r="E663" t="s">
        <v>10</v>
      </c>
      <c r="F663" t="s">
        <v>88</v>
      </c>
      <c r="G663" s="11">
        <v>21259.722855316479</v>
      </c>
    </row>
    <row r="664" spans="1:7" hidden="1">
      <c r="A664" t="str">
        <f t="shared" si="10"/>
        <v>NOVO-07N7-Standard-I8</v>
      </c>
      <c r="B664" t="s">
        <v>29</v>
      </c>
      <c r="C664" t="s">
        <v>112</v>
      </c>
      <c r="D664" t="s">
        <v>262</v>
      </c>
      <c r="E664" t="s">
        <v>33</v>
      </c>
      <c r="F664" t="s">
        <v>88</v>
      </c>
      <c r="G664" s="11">
        <v>12617.559092992708</v>
      </c>
    </row>
    <row r="665" spans="1:7" hidden="1">
      <c r="A665" t="str">
        <f t="shared" si="10"/>
        <v>NOVO-07N8-Plus-I8</v>
      </c>
      <c r="B665" t="s">
        <v>29</v>
      </c>
      <c r="C665" t="s">
        <v>116</v>
      </c>
      <c r="E665" t="s">
        <v>10</v>
      </c>
      <c r="F665" t="s">
        <v>88</v>
      </c>
      <c r="G665" s="11">
        <v>27482.080764189595</v>
      </c>
    </row>
    <row r="666" spans="1:7" hidden="1">
      <c r="A666" t="str">
        <f t="shared" si="10"/>
        <v>NOVO-07NH-Standard-I8</v>
      </c>
      <c r="B666" t="s">
        <v>29</v>
      </c>
      <c r="C666" t="s">
        <v>121</v>
      </c>
      <c r="D666" t="s">
        <v>263</v>
      </c>
      <c r="E666" t="s">
        <v>33</v>
      </c>
      <c r="F666" t="s">
        <v>88</v>
      </c>
      <c r="G666" s="11">
        <v>16679.376061284882</v>
      </c>
    </row>
    <row r="667" spans="1:7" hidden="1">
      <c r="A667" t="str">
        <f t="shared" si="10"/>
        <v>NOVO-07NA-Plus-I8</v>
      </c>
      <c r="B667" t="s">
        <v>29</v>
      </c>
      <c r="C667" t="s">
        <v>125</v>
      </c>
      <c r="E667" t="s">
        <v>10</v>
      </c>
      <c r="F667" t="s">
        <v>88</v>
      </c>
      <c r="G667" s="11">
        <v>34222.96849880214</v>
      </c>
    </row>
    <row r="668" spans="1:7" hidden="1">
      <c r="A668" t="str">
        <f t="shared" si="10"/>
        <v>NOVO-07UA-Standard-I8</v>
      </c>
      <c r="B668" t="s">
        <v>29</v>
      </c>
      <c r="C668" t="s">
        <v>130</v>
      </c>
      <c r="D668" t="s">
        <v>264</v>
      </c>
      <c r="E668" t="s">
        <v>33</v>
      </c>
      <c r="F668" t="s">
        <v>88</v>
      </c>
      <c r="G668" s="11">
        <v>21173.301217693243</v>
      </c>
    </row>
    <row r="669" spans="1:7" hidden="1">
      <c r="A669" t="str">
        <f t="shared" si="10"/>
        <v>NOVO-07UB-Plus-I8</v>
      </c>
      <c r="B669" t="s">
        <v>29</v>
      </c>
      <c r="C669" t="s">
        <v>133</v>
      </c>
      <c r="E669" t="s">
        <v>10</v>
      </c>
      <c r="F669" t="s">
        <v>88</v>
      </c>
      <c r="G669" s="11">
        <v>40877.434595791441</v>
      </c>
    </row>
    <row r="670" spans="1:7" hidden="1">
      <c r="A670" t="str">
        <f t="shared" si="10"/>
        <v>NOVO-07UN-Standard-i4</v>
      </c>
      <c r="B670" t="s">
        <v>29</v>
      </c>
      <c r="C670" t="s">
        <v>137</v>
      </c>
      <c r="D670" t="s">
        <v>265</v>
      </c>
      <c r="E670" t="s">
        <v>33</v>
      </c>
      <c r="F670" t="s">
        <v>171</v>
      </c>
      <c r="G670" s="11">
        <v>4407.5035187851236</v>
      </c>
    </row>
    <row r="671" spans="1:7" hidden="1">
      <c r="A671" t="str">
        <f t="shared" si="10"/>
        <v>NOVO-07UP-Plus-i4</v>
      </c>
      <c r="B671" t="s">
        <v>29</v>
      </c>
      <c r="C671" t="s">
        <v>141</v>
      </c>
      <c r="E671" t="s">
        <v>10</v>
      </c>
      <c r="F671" t="s">
        <v>171</v>
      </c>
      <c r="G671" s="11">
        <v>19531.290102851726</v>
      </c>
    </row>
    <row r="672" spans="1:7" hidden="1">
      <c r="A672" t="str">
        <f t="shared" si="10"/>
        <v>NOVO-07UQ-Standard-i4</v>
      </c>
      <c r="B672" t="s">
        <v>29</v>
      </c>
      <c r="C672" t="s">
        <v>146</v>
      </c>
      <c r="D672" t="s">
        <v>266</v>
      </c>
      <c r="E672" t="s">
        <v>33</v>
      </c>
      <c r="F672" t="s">
        <v>171</v>
      </c>
      <c r="G672" s="11">
        <v>6654.4660969893048</v>
      </c>
    </row>
    <row r="673" spans="1:7" hidden="1">
      <c r="A673" t="str">
        <f t="shared" si="10"/>
        <v>NOVO-07UR-Plus-i4</v>
      </c>
      <c r="B673" t="s">
        <v>29</v>
      </c>
      <c r="C673" t="s">
        <v>150</v>
      </c>
      <c r="E673" t="s">
        <v>10</v>
      </c>
      <c r="F673" t="s">
        <v>171</v>
      </c>
      <c r="G673" s="11">
        <v>22556.047419665047</v>
      </c>
    </row>
    <row r="674" spans="1:7" hidden="1">
      <c r="A674" t="str">
        <f t="shared" si="10"/>
        <v xml:space="preserve">NOVO-07UN-Standard-iX3 </v>
      </c>
      <c r="B674" t="s">
        <v>29</v>
      </c>
      <c r="C674" t="s">
        <v>137</v>
      </c>
      <c r="D674" t="s">
        <v>265</v>
      </c>
      <c r="E674" t="s">
        <v>33</v>
      </c>
      <c r="F674" t="s">
        <v>177</v>
      </c>
      <c r="G674" s="11">
        <v>4234.6602435386485</v>
      </c>
    </row>
    <row r="675" spans="1:7" hidden="1">
      <c r="A675" t="str">
        <f t="shared" si="10"/>
        <v xml:space="preserve">NOVO-07UP-Plus-iX3 </v>
      </c>
      <c r="B675" t="s">
        <v>29</v>
      </c>
      <c r="C675" t="s">
        <v>141</v>
      </c>
      <c r="E675" t="s">
        <v>10</v>
      </c>
      <c r="F675" t="s">
        <v>177</v>
      </c>
      <c r="G675" s="11">
        <v>18667.073726619346</v>
      </c>
    </row>
    <row r="676" spans="1:7" hidden="1">
      <c r="A676" t="str">
        <f t="shared" si="10"/>
        <v xml:space="preserve">NOVO-07UQ-Standard-iX3 </v>
      </c>
      <c r="B676" t="s">
        <v>29</v>
      </c>
      <c r="C676" t="s">
        <v>146</v>
      </c>
      <c r="D676" t="s">
        <v>266</v>
      </c>
      <c r="E676" t="s">
        <v>33</v>
      </c>
      <c r="F676" t="s">
        <v>177</v>
      </c>
      <c r="G676" s="11">
        <v>6308.7795464963538</v>
      </c>
    </row>
    <row r="677" spans="1:7" hidden="1">
      <c r="A677" t="str">
        <f t="shared" si="10"/>
        <v xml:space="preserve">NOVO-07UR-Plus-iX3 </v>
      </c>
      <c r="B677" t="s">
        <v>29</v>
      </c>
      <c r="C677" t="s">
        <v>150</v>
      </c>
      <c r="E677" t="s">
        <v>10</v>
      </c>
      <c r="F677" t="s">
        <v>177</v>
      </c>
      <c r="G677" s="11">
        <v>22469.625782041807</v>
      </c>
    </row>
    <row r="678" spans="1:7" hidden="1">
      <c r="A678" t="str">
        <f t="shared" si="10"/>
        <v>NOVO-07UN-Standard-iX</v>
      </c>
      <c r="B678" t="s">
        <v>29</v>
      </c>
      <c r="C678" t="s">
        <v>137</v>
      </c>
      <c r="D678" t="s">
        <v>265</v>
      </c>
      <c r="E678" t="s">
        <v>33</v>
      </c>
      <c r="F678" t="s">
        <v>174</v>
      </c>
      <c r="G678" s="11">
        <v>5703.8280831336897</v>
      </c>
    </row>
    <row r="679" spans="1:7" hidden="1">
      <c r="A679" t="str">
        <f t="shared" si="10"/>
        <v>NOVO-07UP-Plus-iX</v>
      </c>
      <c r="B679" t="s">
        <v>29</v>
      </c>
      <c r="C679" t="s">
        <v>141</v>
      </c>
      <c r="E679" t="s">
        <v>10</v>
      </c>
      <c r="F679" t="s">
        <v>174</v>
      </c>
      <c r="G679" s="11">
        <v>21173.301217693243</v>
      </c>
    </row>
    <row r="680" spans="1:7" hidden="1">
      <c r="A680" t="str">
        <f t="shared" si="10"/>
        <v>NOVO-07UQ-Standard-iX</v>
      </c>
      <c r="B680" t="s">
        <v>29</v>
      </c>
      <c r="C680" t="s">
        <v>146</v>
      </c>
      <c r="D680" t="s">
        <v>266</v>
      </c>
      <c r="E680" t="s">
        <v>33</v>
      </c>
      <c r="F680" t="s">
        <v>174</v>
      </c>
      <c r="G680" s="11">
        <v>8469.320487077297</v>
      </c>
    </row>
    <row r="681" spans="1:7" hidden="1">
      <c r="A681" t="str">
        <f t="shared" si="10"/>
        <v>NOVO-07UR-Plus-iX</v>
      </c>
      <c r="B681" t="s">
        <v>29</v>
      </c>
      <c r="C681" t="s">
        <v>150</v>
      </c>
      <c r="E681" t="s">
        <v>10</v>
      </c>
      <c r="F681" t="s">
        <v>174</v>
      </c>
      <c r="G681" s="11">
        <v>25580.804736478367</v>
      </c>
    </row>
    <row r="682" spans="1:7" hidden="1">
      <c r="A682" t="str">
        <f t="shared" si="10"/>
        <v>USADO-07US-Standard-SÉRIE 1</v>
      </c>
      <c r="B682" s="7" t="s">
        <v>39</v>
      </c>
      <c r="C682" s="7" t="s">
        <v>34</v>
      </c>
      <c r="D682" s="7" t="s">
        <v>254</v>
      </c>
      <c r="E682" s="7" t="s">
        <v>33</v>
      </c>
      <c r="F682" s="7" t="s">
        <v>30</v>
      </c>
      <c r="G682" s="11">
        <v>9506.3801385561492</v>
      </c>
    </row>
    <row r="683" spans="1:7" hidden="1">
      <c r="A683" t="str">
        <f t="shared" si="10"/>
        <v>USADO-07D7-Plus-SÉRIE 1</v>
      </c>
      <c r="B683" s="7" t="s">
        <v>39</v>
      </c>
      <c r="C683" s="7" t="s">
        <v>42</v>
      </c>
      <c r="D683" s="7"/>
      <c r="E683" s="7" t="s">
        <v>10</v>
      </c>
      <c r="F683" s="7" t="s">
        <v>30</v>
      </c>
      <c r="G683" s="11">
        <v>13395.353831601848</v>
      </c>
    </row>
    <row r="684" spans="1:7" hidden="1">
      <c r="A684" t="str">
        <f t="shared" si="10"/>
        <v>USADO-07NG-Standard-SÉRIE 1</v>
      </c>
      <c r="B684" s="7" t="s">
        <v>39</v>
      </c>
      <c r="C684" s="7" t="s">
        <v>49</v>
      </c>
      <c r="D684" s="7" t="s">
        <v>255</v>
      </c>
      <c r="E684" s="7" t="s">
        <v>33</v>
      </c>
      <c r="F684" s="7" t="s">
        <v>30</v>
      </c>
      <c r="G684" s="11">
        <v>13136.088918732134</v>
      </c>
    </row>
    <row r="685" spans="1:7" hidden="1">
      <c r="A685" t="str">
        <f t="shared" si="10"/>
        <v>USADO-07NM-Plus-SÉRIE 1</v>
      </c>
      <c r="B685" s="7" t="s">
        <v>39</v>
      </c>
      <c r="C685" s="7" t="s">
        <v>53</v>
      </c>
      <c r="D685" s="7"/>
      <c r="E685" s="7" t="s">
        <v>10</v>
      </c>
      <c r="F685" s="7" t="s">
        <v>30</v>
      </c>
      <c r="G685" s="11">
        <v>22037.517593925619</v>
      </c>
    </row>
    <row r="686" spans="1:7" hidden="1">
      <c r="A686" t="str">
        <f t="shared" si="10"/>
        <v>USADO-07DA-Standard-SÉRIE 1</v>
      </c>
      <c r="B686" s="7" t="s">
        <v>39</v>
      </c>
      <c r="C686" s="7" t="s">
        <v>58</v>
      </c>
      <c r="D686" s="7" t="s">
        <v>256</v>
      </c>
      <c r="E686" s="7" t="s">
        <v>33</v>
      </c>
      <c r="F686" s="7" t="s">
        <v>30</v>
      </c>
      <c r="G686" s="11">
        <v>17457.170799894018</v>
      </c>
    </row>
    <row r="687" spans="1:7" hidden="1">
      <c r="A687" t="str">
        <f t="shared" si="10"/>
        <v>USADO-07DB-Plus-SÉRIE 1</v>
      </c>
      <c r="B687" s="7" t="s">
        <v>39</v>
      </c>
      <c r="C687" s="7" t="s">
        <v>62</v>
      </c>
      <c r="D687" s="7"/>
      <c r="E687" s="7" t="s">
        <v>10</v>
      </c>
      <c r="F687" s="7" t="s">
        <v>30</v>
      </c>
      <c r="G687" s="11">
        <v>31111.78954436558</v>
      </c>
    </row>
    <row r="688" spans="1:7" hidden="1">
      <c r="A688" t="str">
        <f t="shared" si="10"/>
        <v>USADO-07DD-Standard-SÉRIE 1</v>
      </c>
      <c r="B688" s="7" t="s">
        <v>39</v>
      </c>
      <c r="C688" s="7" t="s">
        <v>67</v>
      </c>
      <c r="D688" s="7" t="s">
        <v>257</v>
      </c>
      <c r="E688" s="7" t="s">
        <v>33</v>
      </c>
      <c r="F688" s="7" t="s">
        <v>30</v>
      </c>
      <c r="G688" s="11">
        <v>13136.088918732134</v>
      </c>
    </row>
    <row r="689" spans="1:7" hidden="1">
      <c r="A689" t="str">
        <f t="shared" si="10"/>
        <v>USADO-07DE-Plus-SÉRIE 1</v>
      </c>
      <c r="B689" s="7" t="s">
        <v>39</v>
      </c>
      <c r="C689" s="7" t="s">
        <v>71</v>
      </c>
      <c r="D689" s="7"/>
      <c r="E689" s="7" t="s">
        <v>10</v>
      </c>
      <c r="F689" s="7" t="s">
        <v>30</v>
      </c>
      <c r="G689" s="11">
        <v>22296.782506795331</v>
      </c>
    </row>
    <row r="690" spans="1:7" hidden="1">
      <c r="A690" t="str">
        <f t="shared" si="10"/>
        <v>USADO-07NX-Standard-SÉRIE 1</v>
      </c>
      <c r="B690" s="7" t="s">
        <v>39</v>
      </c>
      <c r="C690" s="7" t="s">
        <v>76</v>
      </c>
      <c r="D690" s="7" t="s">
        <v>258</v>
      </c>
      <c r="E690" s="7" t="s">
        <v>33</v>
      </c>
      <c r="F690" s="7" t="s">
        <v>30</v>
      </c>
      <c r="G690" s="11">
        <v>15123.786584066602</v>
      </c>
    </row>
    <row r="691" spans="1:7" hidden="1">
      <c r="A691" t="str">
        <f t="shared" si="10"/>
        <v>USADO-07NY-Plus-SÉRIE 1</v>
      </c>
      <c r="B691" s="7" t="s">
        <v>39</v>
      </c>
      <c r="C691" s="7" t="s">
        <v>80</v>
      </c>
      <c r="D691" s="7"/>
      <c r="E691" s="7" t="s">
        <v>10</v>
      </c>
      <c r="F691" s="7" t="s">
        <v>30</v>
      </c>
      <c r="G691" s="11">
        <v>25753.648011724839</v>
      </c>
    </row>
    <row r="692" spans="1:7" hidden="1">
      <c r="A692" t="str">
        <f t="shared" si="10"/>
        <v>USADO-07N1-Standard-SÉRIE 1</v>
      </c>
      <c r="B692" s="7" t="s">
        <v>39</v>
      </c>
      <c r="C692" s="7" t="s">
        <v>85</v>
      </c>
      <c r="D692" s="7" t="s">
        <v>259</v>
      </c>
      <c r="E692" s="7" t="s">
        <v>33</v>
      </c>
      <c r="F692" s="7" t="s">
        <v>30</v>
      </c>
      <c r="G692" s="11">
        <v>17543.592437517258</v>
      </c>
    </row>
    <row r="693" spans="1:7" hidden="1">
      <c r="A693" t="str">
        <f t="shared" si="10"/>
        <v>USADO-07N2-Plus-SÉRIE 1</v>
      </c>
      <c r="B693" s="7" t="s">
        <v>39</v>
      </c>
      <c r="C693" s="7" t="s">
        <v>89</v>
      </c>
      <c r="D693" s="7"/>
      <c r="E693" s="7" t="s">
        <v>10</v>
      </c>
      <c r="F693" s="7" t="s">
        <v>30</v>
      </c>
      <c r="G693" s="11">
        <v>31543.897732481768</v>
      </c>
    </row>
    <row r="694" spans="1:7" hidden="1">
      <c r="A694" t="str">
        <f t="shared" si="10"/>
        <v>USADO-07N4-Standard-SÉRIE 1</v>
      </c>
      <c r="B694" s="7" t="s">
        <v>39</v>
      </c>
      <c r="C694" s="7" t="s">
        <v>94</v>
      </c>
      <c r="D694" s="7" t="s">
        <v>260</v>
      </c>
      <c r="E694" s="7" t="s">
        <v>33</v>
      </c>
      <c r="F694" s="7" t="s">
        <v>30</v>
      </c>
      <c r="G694" s="11">
        <v>21605.409405809431</v>
      </c>
    </row>
    <row r="695" spans="1:7" hidden="1">
      <c r="A695" t="str">
        <f t="shared" si="10"/>
        <v>USADO-07N5-Plus-SÉRIE 1</v>
      </c>
      <c r="B695" s="7" t="s">
        <v>39</v>
      </c>
      <c r="C695" s="7" t="s">
        <v>98</v>
      </c>
      <c r="D695" s="7"/>
      <c r="E695" s="7" t="s">
        <v>10</v>
      </c>
      <c r="F695" s="7" t="s">
        <v>30</v>
      </c>
      <c r="G695" s="11">
        <v>37506.990728485172</v>
      </c>
    </row>
    <row r="696" spans="1:7" hidden="1">
      <c r="A696" t="str">
        <f t="shared" si="10"/>
        <v>USADO-07NW-Standard-SÉRIE 1</v>
      </c>
      <c r="B696" s="7" t="s">
        <v>39</v>
      </c>
      <c r="C696" s="7" t="s">
        <v>103</v>
      </c>
      <c r="D696" s="7" t="s">
        <v>261</v>
      </c>
      <c r="E696" s="7" t="s">
        <v>33</v>
      </c>
      <c r="F696" s="7" t="s">
        <v>30</v>
      </c>
      <c r="G696" s="11">
        <v>13654.61874447156</v>
      </c>
    </row>
    <row r="697" spans="1:7" hidden="1">
      <c r="A697" t="str">
        <f t="shared" si="10"/>
        <v>USADO-07NK-Plus-SÉRIE 1</v>
      </c>
      <c r="B697" s="7" t="s">
        <v>39</v>
      </c>
      <c r="C697" s="7" t="s">
        <v>107</v>
      </c>
      <c r="D697" s="7"/>
      <c r="E697" s="7" t="s">
        <v>10</v>
      </c>
      <c r="F697" s="7" t="s">
        <v>30</v>
      </c>
      <c r="G697" s="11">
        <v>22642.469057288283</v>
      </c>
    </row>
    <row r="698" spans="1:7" hidden="1">
      <c r="A698" t="str">
        <f t="shared" si="10"/>
        <v>USADO-07N7-Standard-SÉRIE 1</v>
      </c>
      <c r="B698" s="7" t="s">
        <v>39</v>
      </c>
      <c r="C698" s="7" t="s">
        <v>112</v>
      </c>
      <c r="D698" s="7" t="s">
        <v>262</v>
      </c>
      <c r="E698" s="7" t="s">
        <v>33</v>
      </c>
      <c r="F698" s="7" t="s">
        <v>30</v>
      </c>
      <c r="G698" s="11">
        <v>15642.316409806028</v>
      </c>
    </row>
    <row r="699" spans="1:7" hidden="1">
      <c r="A699" t="str">
        <f t="shared" si="10"/>
        <v>USADO-07N8-Plus-SÉRIE 1</v>
      </c>
      <c r="B699" s="7" t="s">
        <v>39</v>
      </c>
      <c r="C699" s="7" t="s">
        <v>116</v>
      </c>
      <c r="D699" s="7"/>
      <c r="E699" s="7" t="s">
        <v>10</v>
      </c>
      <c r="F699" s="7" t="s">
        <v>30</v>
      </c>
      <c r="G699" s="11">
        <v>26272.177837464267</v>
      </c>
    </row>
    <row r="700" spans="1:7" hidden="1">
      <c r="A700" t="str">
        <f t="shared" si="10"/>
        <v>USADO-07NH-Standard-SÉRIE 1</v>
      </c>
      <c r="B700" s="7" t="s">
        <v>39</v>
      </c>
      <c r="C700" s="7" t="s">
        <v>121</v>
      </c>
      <c r="D700" s="7" t="s">
        <v>263</v>
      </c>
      <c r="E700" s="7" t="s">
        <v>33</v>
      </c>
      <c r="F700" s="7" t="s">
        <v>30</v>
      </c>
      <c r="G700" s="11">
        <v>17630.014075140494</v>
      </c>
    </row>
    <row r="701" spans="1:7" hidden="1">
      <c r="A701" t="str">
        <f t="shared" si="10"/>
        <v>USADO-07NA-Plus-SÉRIE 1</v>
      </c>
      <c r="B701" s="7" t="s">
        <v>39</v>
      </c>
      <c r="C701" s="7" t="s">
        <v>125</v>
      </c>
      <c r="D701" s="7"/>
      <c r="E701" s="7" t="s">
        <v>10</v>
      </c>
      <c r="F701" s="7" t="s">
        <v>30</v>
      </c>
      <c r="G701" s="11">
        <v>31630.319370105008</v>
      </c>
    </row>
    <row r="702" spans="1:7" hidden="1">
      <c r="A702" t="str">
        <f t="shared" si="10"/>
        <v>USADO-07UA-Standard-SÉRIE 1</v>
      </c>
      <c r="B702" s="7" t="s">
        <v>39</v>
      </c>
      <c r="C702" s="7" t="s">
        <v>130</v>
      </c>
      <c r="D702" s="7" t="s">
        <v>264</v>
      </c>
      <c r="E702" s="7" t="s">
        <v>33</v>
      </c>
      <c r="F702" s="7" t="s">
        <v>30</v>
      </c>
      <c r="G702" s="11">
        <v>22123.939231548859</v>
      </c>
    </row>
    <row r="703" spans="1:7" hidden="1">
      <c r="A703" t="str">
        <f t="shared" si="10"/>
        <v>USADO-07UB-Plus-SÉRIE 1</v>
      </c>
      <c r="B703" s="7" t="s">
        <v>39</v>
      </c>
      <c r="C703" s="7" t="s">
        <v>133</v>
      </c>
      <c r="D703" s="7"/>
      <c r="E703" s="7" t="s">
        <v>10</v>
      </c>
      <c r="F703" s="7" t="s">
        <v>30</v>
      </c>
      <c r="G703" s="11">
        <v>38371.207104717549</v>
      </c>
    </row>
    <row r="704" spans="1:7" hidden="1">
      <c r="A704" t="str">
        <f t="shared" si="10"/>
        <v>USADO-07US-Standard-SÉRIE 2</v>
      </c>
      <c r="B704" s="7" t="s">
        <v>39</v>
      </c>
      <c r="C704" s="7" t="s">
        <v>34</v>
      </c>
      <c r="D704" s="7" t="s">
        <v>254</v>
      </c>
      <c r="E704" s="7" t="s">
        <v>33</v>
      </c>
      <c r="F704" s="7" t="s">
        <v>40</v>
      </c>
      <c r="G704" s="11">
        <v>9506.3801385561492</v>
      </c>
    </row>
    <row r="705" spans="1:7" hidden="1">
      <c r="A705" t="str">
        <f t="shared" si="10"/>
        <v>USADO-07D7-Plus-SÉRIE 2</v>
      </c>
      <c r="B705" s="7" t="s">
        <v>39</v>
      </c>
      <c r="C705" s="7" t="s">
        <v>42</v>
      </c>
      <c r="D705" s="7"/>
      <c r="E705" s="7" t="s">
        <v>10</v>
      </c>
      <c r="F705" s="7" t="s">
        <v>40</v>
      </c>
      <c r="G705" s="11">
        <v>13395.353831601848</v>
      </c>
    </row>
    <row r="706" spans="1:7" hidden="1">
      <c r="A706" t="str">
        <f t="shared" si="10"/>
        <v>USADO-07NG-Standard-SÉRIE 2</v>
      </c>
      <c r="B706" s="7" t="s">
        <v>39</v>
      </c>
      <c r="C706" s="7" t="s">
        <v>49</v>
      </c>
      <c r="D706" s="7" t="s">
        <v>255</v>
      </c>
      <c r="E706" s="7" t="s">
        <v>33</v>
      </c>
      <c r="F706" s="7" t="s">
        <v>40</v>
      </c>
      <c r="G706" s="11">
        <v>13136.088918732134</v>
      </c>
    </row>
    <row r="707" spans="1:7" hidden="1">
      <c r="A707" t="str">
        <f t="shared" si="10"/>
        <v>USADO-07NM-Plus-SÉRIE 2</v>
      </c>
      <c r="B707" s="7" t="s">
        <v>39</v>
      </c>
      <c r="C707" s="7" t="s">
        <v>53</v>
      </c>
      <c r="D707" s="7"/>
      <c r="E707" s="7" t="s">
        <v>10</v>
      </c>
      <c r="F707" s="7" t="s">
        <v>40</v>
      </c>
      <c r="G707" s="11">
        <v>22037.517593925619</v>
      </c>
    </row>
    <row r="708" spans="1:7" hidden="1">
      <c r="A708" t="str">
        <f t="shared" si="10"/>
        <v>USADO-07DA-Standard-SÉRIE 2</v>
      </c>
      <c r="B708" s="7" t="s">
        <v>39</v>
      </c>
      <c r="C708" s="7" t="s">
        <v>58</v>
      </c>
      <c r="D708" s="7" t="s">
        <v>256</v>
      </c>
      <c r="E708" s="7" t="s">
        <v>33</v>
      </c>
      <c r="F708" s="7" t="s">
        <v>40</v>
      </c>
      <c r="G708" s="11">
        <v>17457.170799894018</v>
      </c>
    </row>
    <row r="709" spans="1:7" hidden="1">
      <c r="A709" t="str">
        <f t="shared" si="10"/>
        <v>USADO-07DB-Plus-SÉRIE 2</v>
      </c>
      <c r="B709" s="7" t="s">
        <v>39</v>
      </c>
      <c r="C709" s="7" t="s">
        <v>62</v>
      </c>
      <c r="D709" s="7"/>
      <c r="E709" s="7" t="s">
        <v>10</v>
      </c>
      <c r="F709" s="7" t="s">
        <v>40</v>
      </c>
      <c r="G709" s="11">
        <v>31111.78954436558</v>
      </c>
    </row>
    <row r="710" spans="1:7" hidden="1">
      <c r="A710" t="str">
        <f t="shared" si="10"/>
        <v>USADO-07DD-Standard-SÉRIE 2</v>
      </c>
      <c r="B710" s="7" t="s">
        <v>39</v>
      </c>
      <c r="C710" s="7" t="s">
        <v>67</v>
      </c>
      <c r="D710" s="7" t="s">
        <v>257</v>
      </c>
      <c r="E710" s="7" t="s">
        <v>33</v>
      </c>
      <c r="F710" s="7" t="s">
        <v>40</v>
      </c>
      <c r="G710" s="11">
        <v>13136.088918732134</v>
      </c>
    </row>
    <row r="711" spans="1:7" hidden="1">
      <c r="A711" t="str">
        <f t="shared" si="10"/>
        <v>USADO-07DE-Plus-SÉRIE 2</v>
      </c>
      <c r="B711" s="7" t="s">
        <v>39</v>
      </c>
      <c r="C711" s="7" t="s">
        <v>71</v>
      </c>
      <c r="D711" s="7"/>
      <c r="E711" s="7" t="s">
        <v>10</v>
      </c>
      <c r="F711" s="7" t="s">
        <v>40</v>
      </c>
      <c r="G711" s="11">
        <v>22296.782506795331</v>
      </c>
    </row>
    <row r="712" spans="1:7" hidden="1">
      <c r="A712" t="str">
        <f t="shared" si="10"/>
        <v>USADO-07NX-Standard-SÉRIE 2</v>
      </c>
      <c r="B712" s="7" t="s">
        <v>39</v>
      </c>
      <c r="C712" s="7" t="s">
        <v>76</v>
      </c>
      <c r="D712" s="7" t="s">
        <v>258</v>
      </c>
      <c r="E712" s="7" t="s">
        <v>33</v>
      </c>
      <c r="F712" s="7" t="s">
        <v>40</v>
      </c>
      <c r="G712" s="11">
        <v>15123.786584066602</v>
      </c>
    </row>
    <row r="713" spans="1:7" hidden="1">
      <c r="A713" t="str">
        <f t="shared" si="10"/>
        <v>USADO-07NY-Plus-SÉRIE 2</v>
      </c>
      <c r="B713" s="7" t="s">
        <v>39</v>
      </c>
      <c r="C713" s="7" t="s">
        <v>80</v>
      </c>
      <c r="D713" s="7"/>
      <c r="E713" s="7" t="s">
        <v>10</v>
      </c>
      <c r="F713" s="7" t="s">
        <v>40</v>
      </c>
      <c r="G713" s="11">
        <v>25753.648011724839</v>
      </c>
    </row>
    <row r="714" spans="1:7" hidden="1">
      <c r="A714" t="str">
        <f t="shared" si="10"/>
        <v>USADO-07N1-Standard-SÉRIE 2</v>
      </c>
      <c r="B714" s="7" t="s">
        <v>39</v>
      </c>
      <c r="C714" s="7" t="s">
        <v>85</v>
      </c>
      <c r="D714" s="7" t="s">
        <v>259</v>
      </c>
      <c r="E714" s="7" t="s">
        <v>33</v>
      </c>
      <c r="F714" s="7" t="s">
        <v>40</v>
      </c>
      <c r="G714" s="11">
        <v>17543.592437517258</v>
      </c>
    </row>
    <row r="715" spans="1:7" hidden="1">
      <c r="A715" t="str">
        <f t="shared" si="10"/>
        <v>USADO-07N2-Plus-SÉRIE 2</v>
      </c>
      <c r="B715" s="7" t="s">
        <v>39</v>
      </c>
      <c r="C715" s="7" t="s">
        <v>89</v>
      </c>
      <c r="D715" s="7"/>
      <c r="E715" s="7" t="s">
        <v>10</v>
      </c>
      <c r="F715" s="7" t="s">
        <v>40</v>
      </c>
      <c r="G715" s="11">
        <v>31543.897732481768</v>
      </c>
    </row>
    <row r="716" spans="1:7" hidden="1">
      <c r="A716" t="str">
        <f t="shared" si="10"/>
        <v>USADO-07N4-Standard-SÉRIE 2</v>
      </c>
      <c r="B716" s="7" t="s">
        <v>39</v>
      </c>
      <c r="C716" s="7" t="s">
        <v>94</v>
      </c>
      <c r="D716" s="7" t="s">
        <v>260</v>
      </c>
      <c r="E716" s="7" t="s">
        <v>33</v>
      </c>
      <c r="F716" s="7" t="s">
        <v>40</v>
      </c>
      <c r="G716" s="11">
        <v>21605.409405809431</v>
      </c>
    </row>
    <row r="717" spans="1:7" hidden="1">
      <c r="A717" t="str">
        <f t="shared" si="10"/>
        <v>USADO-07N5-Plus-SÉRIE 2</v>
      </c>
      <c r="B717" s="7" t="s">
        <v>39</v>
      </c>
      <c r="C717" s="7" t="s">
        <v>98</v>
      </c>
      <c r="D717" s="7"/>
      <c r="E717" s="7" t="s">
        <v>10</v>
      </c>
      <c r="F717" s="7" t="s">
        <v>40</v>
      </c>
      <c r="G717" s="11">
        <v>37506.990728485172</v>
      </c>
    </row>
    <row r="718" spans="1:7" hidden="1">
      <c r="A718" t="str">
        <f t="shared" ref="A718:A781" si="11">B718&amp;"-"&amp;C718&amp;"-"&amp;E718&amp;"-"&amp;F718</f>
        <v>USADO-07NW-Standard-SÉRIE 2</v>
      </c>
      <c r="B718" s="7" t="s">
        <v>39</v>
      </c>
      <c r="C718" s="7" t="s">
        <v>103</v>
      </c>
      <c r="D718" s="7" t="s">
        <v>261</v>
      </c>
      <c r="E718" s="7" t="s">
        <v>33</v>
      </c>
      <c r="F718" s="7" t="s">
        <v>40</v>
      </c>
      <c r="G718" s="11">
        <v>13654.61874447156</v>
      </c>
    </row>
    <row r="719" spans="1:7" hidden="1">
      <c r="A719" t="str">
        <f t="shared" si="11"/>
        <v>USADO-07NK-Plus-SÉRIE 2</v>
      </c>
      <c r="B719" s="7" t="s">
        <v>39</v>
      </c>
      <c r="C719" s="7" t="s">
        <v>107</v>
      </c>
      <c r="D719" s="7"/>
      <c r="E719" s="7" t="s">
        <v>10</v>
      </c>
      <c r="F719" s="7" t="s">
        <v>40</v>
      </c>
      <c r="G719" s="11">
        <v>22642.469057288283</v>
      </c>
    </row>
    <row r="720" spans="1:7" hidden="1">
      <c r="A720" t="str">
        <f t="shared" si="11"/>
        <v>USADO-07N7-Standard-SÉRIE 2</v>
      </c>
      <c r="B720" s="7" t="s">
        <v>39</v>
      </c>
      <c r="C720" s="7" t="s">
        <v>112</v>
      </c>
      <c r="D720" s="7" t="s">
        <v>262</v>
      </c>
      <c r="E720" s="7" t="s">
        <v>33</v>
      </c>
      <c r="F720" s="7" t="s">
        <v>40</v>
      </c>
      <c r="G720" s="11">
        <v>15642.316409806028</v>
      </c>
    </row>
    <row r="721" spans="1:7" hidden="1">
      <c r="A721" t="str">
        <f t="shared" si="11"/>
        <v>USADO-07N8-Plus-SÉRIE 2</v>
      </c>
      <c r="B721" s="7" t="s">
        <v>39</v>
      </c>
      <c r="C721" s="7" t="s">
        <v>116</v>
      </c>
      <c r="D721" s="7"/>
      <c r="E721" s="7" t="s">
        <v>10</v>
      </c>
      <c r="F721" s="7" t="s">
        <v>40</v>
      </c>
      <c r="G721" s="11">
        <v>26272.177837464267</v>
      </c>
    </row>
    <row r="722" spans="1:7" hidden="1">
      <c r="A722" t="str">
        <f t="shared" si="11"/>
        <v>USADO-07NH-Standard-SÉRIE 2</v>
      </c>
      <c r="B722" s="7" t="s">
        <v>39</v>
      </c>
      <c r="C722" s="7" t="s">
        <v>121</v>
      </c>
      <c r="D722" s="7" t="s">
        <v>263</v>
      </c>
      <c r="E722" s="7" t="s">
        <v>33</v>
      </c>
      <c r="F722" s="7" t="s">
        <v>40</v>
      </c>
      <c r="G722" s="11">
        <v>17630.014075140494</v>
      </c>
    </row>
    <row r="723" spans="1:7" hidden="1">
      <c r="A723" t="str">
        <f t="shared" si="11"/>
        <v>USADO-07NA-Plus-SÉRIE 2</v>
      </c>
      <c r="B723" s="7" t="s">
        <v>39</v>
      </c>
      <c r="C723" s="7" t="s">
        <v>125</v>
      </c>
      <c r="D723" s="7"/>
      <c r="E723" s="7" t="s">
        <v>10</v>
      </c>
      <c r="F723" s="7" t="s">
        <v>40</v>
      </c>
      <c r="G723" s="11">
        <v>31630.319370105008</v>
      </c>
    </row>
    <row r="724" spans="1:7" hidden="1">
      <c r="A724" t="str">
        <f t="shared" si="11"/>
        <v>USADO-07UA-Standard-SÉRIE 2</v>
      </c>
      <c r="B724" s="7" t="s">
        <v>39</v>
      </c>
      <c r="C724" s="7" t="s">
        <v>130</v>
      </c>
      <c r="D724" s="7" t="s">
        <v>264</v>
      </c>
      <c r="E724" s="7" t="s">
        <v>33</v>
      </c>
      <c r="F724" s="7" t="s">
        <v>40</v>
      </c>
      <c r="G724" s="11">
        <v>22123.939231548859</v>
      </c>
    </row>
    <row r="725" spans="1:7" hidden="1">
      <c r="A725" t="str">
        <f t="shared" si="11"/>
        <v>USADO-07UB-Plus-SÉRIE 2</v>
      </c>
      <c r="B725" s="7" t="s">
        <v>39</v>
      </c>
      <c r="C725" s="7" t="s">
        <v>133</v>
      </c>
      <c r="D725" s="7"/>
      <c r="E725" s="7" t="s">
        <v>10</v>
      </c>
      <c r="F725" s="7" t="s">
        <v>40</v>
      </c>
      <c r="G725" s="11">
        <v>38371.207104717549</v>
      </c>
    </row>
    <row r="726" spans="1:7" hidden="1">
      <c r="A726" t="str">
        <f t="shared" si="11"/>
        <v>USADO-07US-Standard-M2</v>
      </c>
      <c r="B726" s="7" t="s">
        <v>39</v>
      </c>
      <c r="C726" s="7" t="s">
        <v>34</v>
      </c>
      <c r="D726" s="7" t="s">
        <v>254</v>
      </c>
      <c r="E726" s="7" t="s">
        <v>33</v>
      </c>
      <c r="F726" t="s">
        <v>97</v>
      </c>
      <c r="G726" s="11">
        <v>18062.122263256682</v>
      </c>
    </row>
    <row r="727" spans="1:7" hidden="1">
      <c r="A727" t="str">
        <f t="shared" si="11"/>
        <v>USADO-07D7-Plus-M2</v>
      </c>
      <c r="B727" s="7" t="s">
        <v>39</v>
      </c>
      <c r="C727" s="7" t="s">
        <v>42</v>
      </c>
      <c r="D727" s="7"/>
      <c r="E727" s="7" t="s">
        <v>10</v>
      </c>
      <c r="F727" t="s">
        <v>97</v>
      </c>
      <c r="G727" s="11">
        <v>22556.047419665047</v>
      </c>
    </row>
    <row r="728" spans="1:7" hidden="1">
      <c r="A728" t="str">
        <f t="shared" si="11"/>
        <v>USADO-07NG-Standard-M2</v>
      </c>
      <c r="B728" s="7" t="s">
        <v>39</v>
      </c>
      <c r="C728" s="7" t="s">
        <v>49</v>
      </c>
      <c r="D728" s="7" t="s">
        <v>255</v>
      </c>
      <c r="E728" s="7" t="s">
        <v>33</v>
      </c>
      <c r="F728" t="s">
        <v>97</v>
      </c>
      <c r="G728" s="11">
        <v>22123.939231548859</v>
      </c>
    </row>
    <row r="729" spans="1:7" hidden="1">
      <c r="A729" t="str">
        <f t="shared" si="11"/>
        <v>USADO-07NM-Plus-M2</v>
      </c>
      <c r="B729" s="7" t="s">
        <v>39</v>
      </c>
      <c r="C729" s="7" t="s">
        <v>53</v>
      </c>
      <c r="D729" s="7"/>
      <c r="E729" s="7" t="s">
        <v>10</v>
      </c>
      <c r="F729" t="s">
        <v>97</v>
      </c>
      <c r="G729" s="11">
        <v>43297.240449242097</v>
      </c>
    </row>
    <row r="730" spans="1:7" hidden="1">
      <c r="A730" t="str">
        <f t="shared" si="11"/>
        <v>USADO-07DA-Standard-M2</v>
      </c>
      <c r="B730" s="7" t="s">
        <v>39</v>
      </c>
      <c r="C730" s="7" t="s">
        <v>58</v>
      </c>
      <c r="D730" s="7" t="s">
        <v>256</v>
      </c>
      <c r="E730" s="7" t="s">
        <v>33</v>
      </c>
      <c r="F730" t="s">
        <v>97</v>
      </c>
      <c r="G730" s="11">
        <v>28951.248603784636</v>
      </c>
    </row>
    <row r="731" spans="1:7" hidden="1">
      <c r="A731" t="str">
        <f t="shared" si="11"/>
        <v>USADO-07DB-Plus-M2</v>
      </c>
      <c r="B731" s="7" t="s">
        <v>39</v>
      </c>
      <c r="C731" s="7" t="s">
        <v>62</v>
      </c>
      <c r="D731" s="7"/>
      <c r="E731" s="7" t="s">
        <v>10</v>
      </c>
      <c r="F731" t="s">
        <v>97</v>
      </c>
      <c r="G731" s="11">
        <v>54877.739890755955</v>
      </c>
    </row>
    <row r="732" spans="1:7" hidden="1">
      <c r="A732" t="str">
        <f t="shared" si="11"/>
        <v>USADO-07DD-Standard-M2</v>
      </c>
      <c r="B732" s="7" t="s">
        <v>39</v>
      </c>
      <c r="C732" s="7" t="s">
        <v>67</v>
      </c>
      <c r="D732" s="7" t="s">
        <v>257</v>
      </c>
      <c r="E732" s="7" t="s">
        <v>33</v>
      </c>
      <c r="F732" t="s">
        <v>97</v>
      </c>
      <c r="G732" s="11">
        <v>22123.939231548859</v>
      </c>
    </row>
    <row r="733" spans="1:7" hidden="1">
      <c r="A733" t="str">
        <f t="shared" si="11"/>
        <v>USADO-07DE-Plus-M2</v>
      </c>
      <c r="B733" s="7" t="s">
        <v>39</v>
      </c>
      <c r="C733" s="7" t="s">
        <v>71</v>
      </c>
      <c r="D733" s="7"/>
      <c r="E733" s="7" t="s">
        <v>10</v>
      </c>
      <c r="F733" t="s">
        <v>97</v>
      </c>
      <c r="G733" s="11">
        <v>43470.083724488577</v>
      </c>
    </row>
    <row r="734" spans="1:7" hidden="1">
      <c r="A734" t="str">
        <f t="shared" si="11"/>
        <v>USADO-07NX-Standard-M2</v>
      </c>
      <c r="B734" s="7" t="s">
        <v>39</v>
      </c>
      <c r="C734" s="7" t="s">
        <v>76</v>
      </c>
      <c r="D734" s="7" t="s">
        <v>258</v>
      </c>
      <c r="E734" s="7" t="s">
        <v>33</v>
      </c>
      <c r="F734" t="s">
        <v>97</v>
      </c>
      <c r="G734" s="11">
        <v>26099.334562217791</v>
      </c>
    </row>
    <row r="735" spans="1:7" hidden="1">
      <c r="A735" t="str">
        <f t="shared" si="11"/>
        <v>USADO-07NY-Plus-M2</v>
      </c>
      <c r="B735" s="7" t="s">
        <v>39</v>
      </c>
      <c r="C735" s="7" t="s">
        <v>80</v>
      </c>
      <c r="D735" s="7"/>
      <c r="E735" s="7" t="s">
        <v>10</v>
      </c>
      <c r="F735" t="s">
        <v>97</v>
      </c>
      <c r="G735" s="11">
        <v>52025.82584918911</v>
      </c>
    </row>
    <row r="736" spans="1:7" hidden="1">
      <c r="A736" t="str">
        <f t="shared" si="11"/>
        <v>USADO-07N1-Standard-M2</v>
      </c>
      <c r="B736" s="7" t="s">
        <v>39</v>
      </c>
      <c r="C736" s="7" t="s">
        <v>85</v>
      </c>
      <c r="D736" s="7" t="s">
        <v>259</v>
      </c>
      <c r="E736" s="7" t="s">
        <v>33</v>
      </c>
      <c r="F736" t="s">
        <v>97</v>
      </c>
      <c r="G736" s="11">
        <v>29037.670241407875</v>
      </c>
    </row>
    <row r="737" spans="1:7" hidden="1">
      <c r="A737" t="str">
        <f t="shared" si="11"/>
        <v>USADO-07N2-Plus-M2</v>
      </c>
      <c r="B737" s="7" t="s">
        <v>39</v>
      </c>
      <c r="C737" s="7" t="s">
        <v>89</v>
      </c>
      <c r="D737" s="7"/>
      <c r="E737" s="7" t="s">
        <v>10</v>
      </c>
      <c r="F737" t="s">
        <v>97</v>
      </c>
      <c r="G737" s="11">
        <v>55396.269716495379</v>
      </c>
    </row>
    <row r="738" spans="1:7" hidden="1">
      <c r="A738" t="str">
        <f t="shared" si="11"/>
        <v>USADO-07N4-Standard-M2</v>
      </c>
      <c r="B738" s="7" t="s">
        <v>39</v>
      </c>
      <c r="C738" s="7" t="s">
        <v>94</v>
      </c>
      <c r="D738" s="7" t="s">
        <v>260</v>
      </c>
      <c r="E738" s="7" t="s">
        <v>33</v>
      </c>
      <c r="F738" t="s">
        <v>97</v>
      </c>
      <c r="G738" s="11">
        <v>33877.281948309188</v>
      </c>
    </row>
    <row r="739" spans="1:7" hidden="1">
      <c r="A739" t="str">
        <f t="shared" si="11"/>
        <v>USADO-07N5-Plus-M2</v>
      </c>
      <c r="B739" s="7" t="s">
        <v>39</v>
      </c>
      <c r="C739" s="7" t="s">
        <v>98</v>
      </c>
      <c r="D739" s="7"/>
      <c r="E739" s="7" t="s">
        <v>10</v>
      </c>
      <c r="F739" t="s">
        <v>97</v>
      </c>
      <c r="G739" s="11">
        <v>77433.787310421001</v>
      </c>
    </row>
    <row r="740" spans="1:7" hidden="1">
      <c r="A740" t="str">
        <f t="shared" si="11"/>
        <v>USADO-07NW-Standard-M2</v>
      </c>
      <c r="B740" s="7" t="s">
        <v>39</v>
      </c>
      <c r="C740" s="7" t="s">
        <v>103</v>
      </c>
      <c r="D740" s="7" t="s">
        <v>261</v>
      </c>
      <c r="E740" s="7" t="s">
        <v>33</v>
      </c>
      <c r="F740" t="s">
        <v>97</v>
      </c>
      <c r="G740" s="11">
        <v>22556.047419665047</v>
      </c>
    </row>
    <row r="741" spans="1:7" hidden="1">
      <c r="A741" t="str">
        <f t="shared" si="11"/>
        <v>USADO-07NK-Plus-M2</v>
      </c>
      <c r="B741" s="7" t="s">
        <v>39</v>
      </c>
      <c r="C741" s="7" t="s">
        <v>107</v>
      </c>
      <c r="D741" s="7"/>
      <c r="E741" s="7" t="s">
        <v>10</v>
      </c>
      <c r="F741" t="s">
        <v>97</v>
      </c>
      <c r="G741" s="11">
        <v>43902.191912604765</v>
      </c>
    </row>
    <row r="742" spans="1:7" hidden="1">
      <c r="A742" t="str">
        <f t="shared" si="11"/>
        <v>USADO-07N7-Standard-M2</v>
      </c>
      <c r="B742" s="7" t="s">
        <v>39</v>
      </c>
      <c r="C742" s="7" t="s">
        <v>112</v>
      </c>
      <c r="D742" s="7" t="s">
        <v>262</v>
      </c>
      <c r="E742" s="7" t="s">
        <v>33</v>
      </c>
      <c r="F742" t="s">
        <v>97</v>
      </c>
      <c r="G742" s="11">
        <v>26531.442750333979</v>
      </c>
    </row>
    <row r="743" spans="1:7" hidden="1">
      <c r="A743" t="str">
        <f t="shared" si="11"/>
        <v>USADO-07N8-Plus-M2</v>
      </c>
      <c r="B743" s="7" t="s">
        <v>39</v>
      </c>
      <c r="C743" s="7" t="s">
        <v>116</v>
      </c>
      <c r="D743" s="7"/>
      <c r="E743" s="7" t="s">
        <v>10</v>
      </c>
      <c r="F743" t="s">
        <v>97</v>
      </c>
      <c r="G743" s="11">
        <v>52544.355674928534</v>
      </c>
    </row>
    <row r="744" spans="1:7" hidden="1">
      <c r="A744" t="str">
        <f t="shared" si="11"/>
        <v>USADO-07NH-Standard-M2</v>
      </c>
      <c r="B744" s="7" t="s">
        <v>39</v>
      </c>
      <c r="C744" s="7" t="s">
        <v>121</v>
      </c>
      <c r="D744" s="7" t="s">
        <v>263</v>
      </c>
      <c r="E744" s="7" t="s">
        <v>33</v>
      </c>
      <c r="F744" t="s">
        <v>97</v>
      </c>
      <c r="G744" s="11">
        <v>29124.091879031112</v>
      </c>
    </row>
    <row r="745" spans="1:7" hidden="1">
      <c r="A745" t="str">
        <f t="shared" si="11"/>
        <v>USADO-07NA-Plus-M2</v>
      </c>
      <c r="B745" s="7" t="s">
        <v>39</v>
      </c>
      <c r="C745" s="7" t="s">
        <v>125</v>
      </c>
      <c r="D745" s="7"/>
      <c r="E745" s="7" t="s">
        <v>10</v>
      </c>
      <c r="F745" t="s">
        <v>97</v>
      </c>
      <c r="G745" s="11">
        <v>55828.377904611567</v>
      </c>
    </row>
    <row r="746" spans="1:7" hidden="1">
      <c r="A746" t="str">
        <f t="shared" si="11"/>
        <v>USADO-07UA-Standard-M2</v>
      </c>
      <c r="B746" s="7" t="s">
        <v>39</v>
      </c>
      <c r="C746" s="7" t="s">
        <v>130</v>
      </c>
      <c r="D746" s="7" t="s">
        <v>264</v>
      </c>
      <c r="E746" s="7" t="s">
        <v>33</v>
      </c>
      <c r="F746" t="s">
        <v>97</v>
      </c>
      <c r="G746" s="11">
        <v>34655.076686918328</v>
      </c>
    </row>
    <row r="747" spans="1:7" hidden="1">
      <c r="A747" t="str">
        <f t="shared" si="11"/>
        <v>USADO-07UB-Plus-M2</v>
      </c>
      <c r="B747" s="7" t="s">
        <v>39</v>
      </c>
      <c r="C747" s="7" t="s">
        <v>133</v>
      </c>
      <c r="D747" s="7"/>
      <c r="E747" s="7" t="s">
        <v>10</v>
      </c>
      <c r="F747" t="s">
        <v>97</v>
      </c>
      <c r="G747" s="11">
        <v>78643.690237146322</v>
      </c>
    </row>
    <row r="748" spans="1:7" hidden="1">
      <c r="A748" t="str">
        <f t="shared" si="11"/>
        <v>USADO-07US-Standard-SÉRIE 3</v>
      </c>
      <c r="B748" s="7" t="s">
        <v>39</v>
      </c>
      <c r="C748" s="7" t="s">
        <v>34</v>
      </c>
      <c r="D748" s="7" t="s">
        <v>254</v>
      </c>
      <c r="E748" s="7" t="s">
        <v>33</v>
      </c>
      <c r="F748" s="7" t="s">
        <v>47</v>
      </c>
      <c r="G748" s="11">
        <v>9852.0666890491011</v>
      </c>
    </row>
    <row r="749" spans="1:7" hidden="1">
      <c r="A749" t="str">
        <f t="shared" si="11"/>
        <v>USADO-07D7-Plus-SÉRIE 3</v>
      </c>
      <c r="B749" s="7" t="s">
        <v>39</v>
      </c>
      <c r="C749" s="7" t="s">
        <v>42</v>
      </c>
      <c r="D749" s="7"/>
      <c r="E749" s="7" t="s">
        <v>10</v>
      </c>
      <c r="F749" s="7" t="s">
        <v>47</v>
      </c>
      <c r="G749" s="11">
        <v>13741.040382094798</v>
      </c>
    </row>
    <row r="750" spans="1:7" hidden="1">
      <c r="A750" t="str">
        <f t="shared" si="11"/>
        <v>USADO-07NG-Standard-SÉRIE 3</v>
      </c>
      <c r="B750" s="7" t="s">
        <v>39</v>
      </c>
      <c r="C750" s="7" t="s">
        <v>49</v>
      </c>
      <c r="D750" s="7" t="s">
        <v>255</v>
      </c>
      <c r="E750" s="7" t="s">
        <v>33</v>
      </c>
      <c r="F750" s="7" t="s">
        <v>47</v>
      </c>
      <c r="G750" s="11">
        <v>13827.462019718036</v>
      </c>
    </row>
    <row r="751" spans="1:7" hidden="1">
      <c r="A751" t="str">
        <f t="shared" si="11"/>
        <v>USADO-07NM-Plus-SÉRIE 3</v>
      </c>
      <c r="B751" s="7" t="s">
        <v>39</v>
      </c>
      <c r="C751" s="7" t="s">
        <v>53</v>
      </c>
      <c r="D751" s="7"/>
      <c r="E751" s="7" t="s">
        <v>10</v>
      </c>
      <c r="F751" s="7" t="s">
        <v>47</v>
      </c>
      <c r="G751" s="11">
        <v>23765.950346390375</v>
      </c>
    </row>
    <row r="752" spans="1:7" hidden="1">
      <c r="A752" t="str">
        <f t="shared" si="11"/>
        <v>USADO-07DA-Standard-SÉRIE 3</v>
      </c>
      <c r="B752" s="7" t="s">
        <v>39</v>
      </c>
      <c r="C752" s="7" t="s">
        <v>58</v>
      </c>
      <c r="D752" s="7" t="s">
        <v>256</v>
      </c>
      <c r="E752" s="7" t="s">
        <v>33</v>
      </c>
      <c r="F752" s="7" t="s">
        <v>47</v>
      </c>
      <c r="G752" s="11">
        <v>18407.808813749634</v>
      </c>
    </row>
    <row r="753" spans="1:7" hidden="1">
      <c r="A753" t="str">
        <f t="shared" si="11"/>
        <v>USADO-07DB-Plus-SÉRIE 3</v>
      </c>
      <c r="B753" s="7" t="s">
        <v>39</v>
      </c>
      <c r="C753" s="7" t="s">
        <v>62</v>
      </c>
      <c r="D753" s="7"/>
      <c r="E753" s="7" t="s">
        <v>10</v>
      </c>
      <c r="F753" s="7" t="s">
        <v>47</v>
      </c>
      <c r="G753" s="11">
        <v>33963.703585932424</v>
      </c>
    </row>
    <row r="754" spans="1:7" hidden="1">
      <c r="A754" t="str">
        <f t="shared" si="11"/>
        <v>USADO-07DD-Standard-SÉRIE 3</v>
      </c>
      <c r="B754" s="7" t="s">
        <v>39</v>
      </c>
      <c r="C754" s="7" t="s">
        <v>67</v>
      </c>
      <c r="D754" s="7" t="s">
        <v>257</v>
      </c>
      <c r="E754" s="7" t="s">
        <v>33</v>
      </c>
      <c r="F754" s="7" t="s">
        <v>47</v>
      </c>
      <c r="G754" s="11">
        <v>13827.462019718036</v>
      </c>
    </row>
    <row r="755" spans="1:7" hidden="1">
      <c r="A755" t="str">
        <f t="shared" si="11"/>
        <v>USADO-07DE-Plus-SÉRIE 3</v>
      </c>
      <c r="B755" s="7" t="s">
        <v>39</v>
      </c>
      <c r="C755" s="7" t="s">
        <v>71</v>
      </c>
      <c r="D755" s="7"/>
      <c r="E755" s="7" t="s">
        <v>10</v>
      </c>
      <c r="F755" s="7" t="s">
        <v>47</v>
      </c>
      <c r="G755" s="11">
        <v>23938.793621636847</v>
      </c>
    </row>
    <row r="756" spans="1:7" hidden="1">
      <c r="A756" t="str">
        <f t="shared" si="11"/>
        <v>USADO-07NX-Standard-SÉRIE 3</v>
      </c>
      <c r="B756" s="7" t="s">
        <v>39</v>
      </c>
      <c r="C756" s="7" t="s">
        <v>76</v>
      </c>
      <c r="D756" s="7" t="s">
        <v>258</v>
      </c>
      <c r="E756" s="7" t="s">
        <v>33</v>
      </c>
      <c r="F756" s="7" t="s">
        <v>47</v>
      </c>
      <c r="G756" s="11">
        <v>15642.316409806028</v>
      </c>
    </row>
    <row r="757" spans="1:7" hidden="1">
      <c r="A757" t="str">
        <f t="shared" si="11"/>
        <v>USADO-07NY-Plus-SÉRIE 3</v>
      </c>
      <c r="B757" s="7" t="s">
        <v>39</v>
      </c>
      <c r="C757" s="7" t="s">
        <v>80</v>
      </c>
      <c r="D757" s="7"/>
      <c r="E757" s="7" t="s">
        <v>10</v>
      </c>
      <c r="F757" s="7" t="s">
        <v>47</v>
      </c>
      <c r="G757" s="11">
        <v>28173.453865175496</v>
      </c>
    </row>
    <row r="758" spans="1:7" hidden="1">
      <c r="A758" t="str">
        <f t="shared" si="11"/>
        <v>USADO-07N1-Standard-SÉRIE 3</v>
      </c>
      <c r="B758" s="7" t="s">
        <v>39</v>
      </c>
      <c r="C758" s="7" t="s">
        <v>85</v>
      </c>
      <c r="D758" s="7" t="s">
        <v>259</v>
      </c>
      <c r="E758" s="7" t="s">
        <v>33</v>
      </c>
      <c r="F758" s="7" t="s">
        <v>47</v>
      </c>
      <c r="G758" s="11">
        <v>18580.65208899611</v>
      </c>
    </row>
    <row r="759" spans="1:7" hidden="1">
      <c r="A759" t="str">
        <f t="shared" si="11"/>
        <v>USADO-07N2-Plus-SÉRIE 3</v>
      </c>
      <c r="B759" s="7" t="s">
        <v>39</v>
      </c>
      <c r="C759" s="7" t="s">
        <v>89</v>
      </c>
      <c r="D759" s="7"/>
      <c r="E759" s="7" t="s">
        <v>10</v>
      </c>
      <c r="F759" s="7" t="s">
        <v>47</v>
      </c>
      <c r="G759" s="11">
        <v>34222.96849880214</v>
      </c>
    </row>
    <row r="760" spans="1:7" hidden="1">
      <c r="A760" t="str">
        <f t="shared" si="11"/>
        <v>USADO-07N4-Standard-SÉRIE 3</v>
      </c>
      <c r="B760" s="7" t="s">
        <v>39</v>
      </c>
      <c r="C760" s="7" t="s">
        <v>94</v>
      </c>
      <c r="D760" s="7" t="s">
        <v>260</v>
      </c>
      <c r="E760" s="7" t="s">
        <v>33</v>
      </c>
      <c r="F760" s="7" t="s">
        <v>47</v>
      </c>
      <c r="G760" s="11">
        <v>22556.047419665047</v>
      </c>
    </row>
    <row r="761" spans="1:7" hidden="1">
      <c r="A761" t="str">
        <f t="shared" si="11"/>
        <v>USADO-07N5-Plus-SÉRIE 3</v>
      </c>
      <c r="B761" s="7" t="s">
        <v>39</v>
      </c>
      <c r="C761" s="7" t="s">
        <v>98</v>
      </c>
      <c r="D761" s="7"/>
      <c r="E761" s="7" t="s">
        <v>10</v>
      </c>
      <c r="F761" s="7" t="s">
        <v>47</v>
      </c>
      <c r="G761" s="11">
        <v>40099.639857182301</v>
      </c>
    </row>
    <row r="762" spans="1:7" hidden="1">
      <c r="A762" t="str">
        <f t="shared" si="11"/>
        <v>USADO-07NW-Standard-SÉRIE 3</v>
      </c>
      <c r="B762" s="7" t="s">
        <v>39</v>
      </c>
      <c r="C762" s="7" t="s">
        <v>103</v>
      </c>
      <c r="D762" s="7" t="s">
        <v>261</v>
      </c>
      <c r="E762" s="7" t="s">
        <v>33</v>
      </c>
      <c r="F762" s="7" t="s">
        <v>47</v>
      </c>
      <c r="G762" s="11">
        <v>14259.570207834224</v>
      </c>
    </row>
    <row r="763" spans="1:7" hidden="1">
      <c r="A763" t="str">
        <f t="shared" si="11"/>
        <v>USADO-07NK-Plus-SÉRIE 3</v>
      </c>
      <c r="B763" s="7" t="s">
        <v>39</v>
      </c>
      <c r="C763" s="7" t="s">
        <v>107</v>
      </c>
      <c r="D763" s="7"/>
      <c r="E763" s="7" t="s">
        <v>10</v>
      </c>
      <c r="F763" s="7" t="s">
        <v>47</v>
      </c>
      <c r="G763" s="11">
        <v>24370.901809753039</v>
      </c>
    </row>
    <row r="764" spans="1:7" hidden="1">
      <c r="A764" t="str">
        <f t="shared" si="11"/>
        <v>USADO-07N7-Standard-SÉRIE 3</v>
      </c>
      <c r="B764" s="7" t="s">
        <v>39</v>
      </c>
      <c r="C764" s="7" t="s">
        <v>112</v>
      </c>
      <c r="D764" s="7" t="s">
        <v>262</v>
      </c>
      <c r="E764" s="7" t="s">
        <v>33</v>
      </c>
      <c r="F764" s="7" t="s">
        <v>47</v>
      </c>
      <c r="G764" s="11">
        <v>16074.424597922216</v>
      </c>
    </row>
    <row r="765" spans="1:7" hidden="1">
      <c r="A765" t="str">
        <f t="shared" si="11"/>
        <v>USADO-07N8-Plus-SÉRIE 3</v>
      </c>
      <c r="B765" s="7" t="s">
        <v>39</v>
      </c>
      <c r="C765" s="7" t="s">
        <v>116</v>
      </c>
      <c r="D765" s="7"/>
      <c r="E765" s="7" t="s">
        <v>10</v>
      </c>
      <c r="F765" s="7" t="s">
        <v>47</v>
      </c>
      <c r="G765" s="11">
        <v>28519.140415668448</v>
      </c>
    </row>
    <row r="766" spans="1:7" hidden="1">
      <c r="A766" t="str">
        <f t="shared" si="11"/>
        <v>USADO-07NH-Standard-SÉRIE 3</v>
      </c>
      <c r="B766" s="7" t="s">
        <v>39</v>
      </c>
      <c r="C766" s="7" t="s">
        <v>121</v>
      </c>
      <c r="D766" s="7" t="s">
        <v>263</v>
      </c>
      <c r="E766" s="7" t="s">
        <v>33</v>
      </c>
      <c r="F766" s="7" t="s">
        <v>47</v>
      </c>
      <c r="G766" s="11">
        <v>18667.073726619346</v>
      </c>
    </row>
    <row r="767" spans="1:7" hidden="1">
      <c r="A767" t="str">
        <f t="shared" si="11"/>
        <v>USADO-07NA-Plus-SÉRIE 3</v>
      </c>
      <c r="B767" s="7" t="s">
        <v>39</v>
      </c>
      <c r="C767" s="7" t="s">
        <v>125</v>
      </c>
      <c r="D767" s="7"/>
      <c r="E767" s="7" t="s">
        <v>10</v>
      </c>
      <c r="F767" s="7" t="s">
        <v>47</v>
      </c>
      <c r="G767" s="11">
        <v>34482.233411671848</v>
      </c>
    </row>
    <row r="768" spans="1:7" hidden="1">
      <c r="A768" t="str">
        <f t="shared" si="11"/>
        <v>USADO-07UA-Standard-SÉRIE 3</v>
      </c>
      <c r="B768" s="7" t="s">
        <v>39</v>
      </c>
      <c r="C768" s="7" t="s">
        <v>130</v>
      </c>
      <c r="D768" s="7" t="s">
        <v>264</v>
      </c>
      <c r="E768" s="7" t="s">
        <v>33</v>
      </c>
      <c r="F768" s="7" t="s">
        <v>47</v>
      </c>
      <c r="G768" s="11">
        <v>23247.420520650947</v>
      </c>
    </row>
    <row r="769" spans="1:7" hidden="1">
      <c r="A769" t="str">
        <f t="shared" si="11"/>
        <v>USADO-07UB-Plus-SÉRIE 3</v>
      </c>
      <c r="B769" s="7" t="s">
        <v>39</v>
      </c>
      <c r="C769" s="7" t="s">
        <v>133</v>
      </c>
      <c r="D769" s="7"/>
      <c r="E769" s="7" t="s">
        <v>10</v>
      </c>
      <c r="F769" s="7" t="s">
        <v>47</v>
      </c>
      <c r="G769" s="11">
        <v>41050.277871037921</v>
      </c>
    </row>
    <row r="770" spans="1:7" hidden="1">
      <c r="A770" t="str">
        <f t="shared" si="11"/>
        <v>USADO-07US-Standard-SÉRIE 4</v>
      </c>
      <c r="B770" s="7" t="s">
        <v>39</v>
      </c>
      <c r="C770" s="7" t="s">
        <v>34</v>
      </c>
      <c r="D770" s="7" t="s">
        <v>254</v>
      </c>
      <c r="E770" s="7" t="s">
        <v>33</v>
      </c>
      <c r="F770" s="7" t="s">
        <v>52</v>
      </c>
      <c r="G770" s="11">
        <v>9852.0666890491011</v>
      </c>
    </row>
    <row r="771" spans="1:7" hidden="1">
      <c r="A771" t="str">
        <f t="shared" si="11"/>
        <v>USADO-07D7-Plus-SÉRIE 4</v>
      </c>
      <c r="B771" s="7" t="s">
        <v>39</v>
      </c>
      <c r="C771" s="7" t="s">
        <v>42</v>
      </c>
      <c r="D771" s="7"/>
      <c r="E771" s="7" t="s">
        <v>10</v>
      </c>
      <c r="F771" s="7" t="s">
        <v>52</v>
      </c>
      <c r="G771" s="11">
        <v>13741.040382094798</v>
      </c>
    </row>
    <row r="772" spans="1:7" hidden="1">
      <c r="A772" t="str">
        <f t="shared" si="11"/>
        <v>USADO-07NG-Standard-SÉRIE 4</v>
      </c>
      <c r="B772" s="7" t="s">
        <v>39</v>
      </c>
      <c r="C772" s="7" t="s">
        <v>49</v>
      </c>
      <c r="D772" s="7" t="s">
        <v>255</v>
      </c>
      <c r="E772" s="7" t="s">
        <v>33</v>
      </c>
      <c r="F772" s="7" t="s">
        <v>52</v>
      </c>
      <c r="G772" s="11">
        <v>13827.462019718036</v>
      </c>
    </row>
    <row r="773" spans="1:7" hidden="1">
      <c r="A773" t="str">
        <f t="shared" si="11"/>
        <v>USADO-07NM-Plus-SÉRIE 4</v>
      </c>
      <c r="B773" s="7" t="s">
        <v>39</v>
      </c>
      <c r="C773" s="7" t="s">
        <v>53</v>
      </c>
      <c r="D773" s="7"/>
      <c r="E773" s="7" t="s">
        <v>10</v>
      </c>
      <c r="F773" s="7" t="s">
        <v>52</v>
      </c>
      <c r="G773" s="11">
        <v>23765.950346390375</v>
      </c>
    </row>
    <row r="774" spans="1:7" hidden="1">
      <c r="A774" t="str">
        <f t="shared" si="11"/>
        <v>USADO-07DA-Standard-SÉRIE 4</v>
      </c>
      <c r="B774" s="7" t="s">
        <v>39</v>
      </c>
      <c r="C774" s="7" t="s">
        <v>58</v>
      </c>
      <c r="D774" s="7" t="s">
        <v>256</v>
      </c>
      <c r="E774" s="7" t="s">
        <v>33</v>
      </c>
      <c r="F774" s="7" t="s">
        <v>52</v>
      </c>
      <c r="G774" s="11">
        <v>18407.808813749634</v>
      </c>
    </row>
    <row r="775" spans="1:7" hidden="1">
      <c r="A775" t="str">
        <f t="shared" si="11"/>
        <v>USADO-07DB-Plus-SÉRIE 4</v>
      </c>
      <c r="B775" s="7" t="s">
        <v>39</v>
      </c>
      <c r="C775" s="7" t="s">
        <v>62</v>
      </c>
      <c r="D775" s="7"/>
      <c r="E775" s="7" t="s">
        <v>10</v>
      </c>
      <c r="F775" s="7" t="s">
        <v>52</v>
      </c>
      <c r="G775" s="11">
        <v>33963.703585932424</v>
      </c>
    </row>
    <row r="776" spans="1:7" hidden="1">
      <c r="A776" t="str">
        <f t="shared" si="11"/>
        <v>USADO-07DD-Standard-SÉRIE 4</v>
      </c>
      <c r="B776" s="7" t="s">
        <v>39</v>
      </c>
      <c r="C776" s="7" t="s">
        <v>67</v>
      </c>
      <c r="D776" s="7" t="s">
        <v>257</v>
      </c>
      <c r="E776" s="7" t="s">
        <v>33</v>
      </c>
      <c r="F776" s="7" t="s">
        <v>52</v>
      </c>
      <c r="G776" s="11">
        <v>13827.462019718036</v>
      </c>
    </row>
    <row r="777" spans="1:7" hidden="1">
      <c r="A777" t="str">
        <f t="shared" si="11"/>
        <v>USADO-07DE-Plus-SÉRIE 4</v>
      </c>
      <c r="B777" s="7" t="s">
        <v>39</v>
      </c>
      <c r="C777" s="7" t="s">
        <v>71</v>
      </c>
      <c r="D777" s="7"/>
      <c r="E777" s="7" t="s">
        <v>10</v>
      </c>
      <c r="F777" s="7" t="s">
        <v>52</v>
      </c>
      <c r="G777" s="11">
        <v>23938.793621636847</v>
      </c>
    </row>
    <row r="778" spans="1:7" hidden="1">
      <c r="A778" t="str">
        <f t="shared" si="11"/>
        <v>USADO-07NX-Standard-SÉRIE 4</v>
      </c>
      <c r="B778" s="7" t="s">
        <v>39</v>
      </c>
      <c r="C778" s="7" t="s">
        <v>76</v>
      </c>
      <c r="D778" s="7" t="s">
        <v>258</v>
      </c>
      <c r="E778" s="7" t="s">
        <v>33</v>
      </c>
      <c r="F778" s="7" t="s">
        <v>52</v>
      </c>
      <c r="G778" s="11">
        <v>15642.316409806028</v>
      </c>
    </row>
    <row r="779" spans="1:7" hidden="1">
      <c r="A779" t="str">
        <f t="shared" si="11"/>
        <v>USADO-07NY-Plus-SÉRIE 4</v>
      </c>
      <c r="B779" s="7" t="s">
        <v>39</v>
      </c>
      <c r="C779" s="7" t="s">
        <v>80</v>
      </c>
      <c r="D779" s="7"/>
      <c r="E779" s="7" t="s">
        <v>10</v>
      </c>
      <c r="F779" s="7" t="s">
        <v>52</v>
      </c>
      <c r="G779" s="11">
        <v>28173.453865175496</v>
      </c>
    </row>
    <row r="780" spans="1:7" hidden="1">
      <c r="A780" t="str">
        <f t="shared" si="11"/>
        <v>USADO-07N1-Standard-SÉRIE 4</v>
      </c>
      <c r="B780" s="7" t="s">
        <v>39</v>
      </c>
      <c r="C780" s="7" t="s">
        <v>85</v>
      </c>
      <c r="D780" s="7" t="s">
        <v>259</v>
      </c>
      <c r="E780" s="7" t="s">
        <v>33</v>
      </c>
      <c r="F780" s="7" t="s">
        <v>52</v>
      </c>
      <c r="G780" s="11">
        <v>18580.65208899611</v>
      </c>
    </row>
    <row r="781" spans="1:7" hidden="1">
      <c r="A781" t="str">
        <f t="shared" si="11"/>
        <v>USADO-07N2-Plus-SÉRIE 4</v>
      </c>
      <c r="B781" s="7" t="s">
        <v>39</v>
      </c>
      <c r="C781" s="7" t="s">
        <v>89</v>
      </c>
      <c r="D781" s="7"/>
      <c r="E781" s="7" t="s">
        <v>10</v>
      </c>
      <c r="F781" s="7" t="s">
        <v>52</v>
      </c>
      <c r="G781" s="11">
        <v>34222.96849880214</v>
      </c>
    </row>
    <row r="782" spans="1:7" hidden="1">
      <c r="A782" t="str">
        <f t="shared" ref="A782:A845" si="12">B782&amp;"-"&amp;C782&amp;"-"&amp;E782&amp;"-"&amp;F782</f>
        <v>USADO-07N4-Standard-SÉRIE 4</v>
      </c>
      <c r="B782" s="7" t="s">
        <v>39</v>
      </c>
      <c r="C782" s="7" t="s">
        <v>94</v>
      </c>
      <c r="D782" s="7" t="s">
        <v>260</v>
      </c>
      <c r="E782" s="7" t="s">
        <v>33</v>
      </c>
      <c r="F782" s="7" t="s">
        <v>52</v>
      </c>
      <c r="G782" s="11">
        <v>22556.047419665047</v>
      </c>
    </row>
    <row r="783" spans="1:7" hidden="1">
      <c r="A783" t="str">
        <f t="shared" si="12"/>
        <v>USADO-07N5-Plus-SÉRIE 4</v>
      </c>
      <c r="B783" s="7" t="s">
        <v>39</v>
      </c>
      <c r="C783" s="7" t="s">
        <v>98</v>
      </c>
      <c r="D783" s="7"/>
      <c r="E783" s="7" t="s">
        <v>10</v>
      </c>
      <c r="F783" s="7" t="s">
        <v>52</v>
      </c>
      <c r="G783" s="11">
        <v>40099.639857182301</v>
      </c>
    </row>
    <row r="784" spans="1:7" hidden="1">
      <c r="A784" t="str">
        <f t="shared" si="12"/>
        <v>USADO-07NW-Standard-SÉRIE 4</v>
      </c>
      <c r="B784" s="7" t="s">
        <v>39</v>
      </c>
      <c r="C784" s="7" t="s">
        <v>103</v>
      </c>
      <c r="D784" s="7" t="s">
        <v>261</v>
      </c>
      <c r="E784" s="7" t="s">
        <v>33</v>
      </c>
      <c r="F784" s="7" t="s">
        <v>52</v>
      </c>
      <c r="G784" s="11">
        <v>14259.570207834224</v>
      </c>
    </row>
    <row r="785" spans="1:7" hidden="1">
      <c r="A785" t="str">
        <f t="shared" si="12"/>
        <v>USADO-07NK-Plus-SÉRIE 4</v>
      </c>
      <c r="B785" s="7" t="s">
        <v>39</v>
      </c>
      <c r="C785" s="7" t="s">
        <v>107</v>
      </c>
      <c r="D785" s="7"/>
      <c r="E785" s="7" t="s">
        <v>10</v>
      </c>
      <c r="F785" s="7" t="s">
        <v>52</v>
      </c>
      <c r="G785" s="11">
        <v>24370.901809753039</v>
      </c>
    </row>
    <row r="786" spans="1:7" hidden="1">
      <c r="A786" t="str">
        <f t="shared" si="12"/>
        <v>USADO-07N7-Standard-SÉRIE 4</v>
      </c>
      <c r="B786" s="7" t="s">
        <v>39</v>
      </c>
      <c r="C786" s="7" t="s">
        <v>112</v>
      </c>
      <c r="D786" s="7" t="s">
        <v>262</v>
      </c>
      <c r="E786" s="7" t="s">
        <v>33</v>
      </c>
      <c r="F786" s="7" t="s">
        <v>52</v>
      </c>
      <c r="G786" s="11">
        <v>16074.424597922216</v>
      </c>
    </row>
    <row r="787" spans="1:7" hidden="1">
      <c r="A787" t="str">
        <f t="shared" si="12"/>
        <v>USADO-07N8-Plus-SÉRIE 4</v>
      </c>
      <c r="B787" s="7" t="s">
        <v>39</v>
      </c>
      <c r="C787" s="7" t="s">
        <v>116</v>
      </c>
      <c r="D787" s="7"/>
      <c r="E787" s="7" t="s">
        <v>10</v>
      </c>
      <c r="F787" s="7" t="s">
        <v>52</v>
      </c>
      <c r="G787" s="11">
        <v>28519.140415668448</v>
      </c>
    </row>
    <row r="788" spans="1:7" hidden="1">
      <c r="A788" t="str">
        <f t="shared" si="12"/>
        <v>USADO-07NH-Standard-SÉRIE 4</v>
      </c>
      <c r="B788" s="7" t="s">
        <v>39</v>
      </c>
      <c r="C788" s="7" t="s">
        <v>121</v>
      </c>
      <c r="D788" s="7" t="s">
        <v>263</v>
      </c>
      <c r="E788" s="7" t="s">
        <v>33</v>
      </c>
      <c r="F788" s="7" t="s">
        <v>52</v>
      </c>
      <c r="G788" s="11">
        <v>18667.073726619346</v>
      </c>
    </row>
    <row r="789" spans="1:7" hidden="1">
      <c r="A789" t="str">
        <f t="shared" si="12"/>
        <v>USADO-07NA-Plus-SÉRIE 4</v>
      </c>
      <c r="B789" s="7" t="s">
        <v>39</v>
      </c>
      <c r="C789" s="7" t="s">
        <v>125</v>
      </c>
      <c r="D789" s="7"/>
      <c r="E789" s="7" t="s">
        <v>10</v>
      </c>
      <c r="F789" s="7" t="s">
        <v>52</v>
      </c>
      <c r="G789" s="11">
        <v>34482.233411671848</v>
      </c>
    </row>
    <row r="790" spans="1:7" hidden="1">
      <c r="A790" t="str">
        <f t="shared" si="12"/>
        <v>USADO-07UA-Standard-SÉRIE 4</v>
      </c>
      <c r="B790" s="7" t="s">
        <v>39</v>
      </c>
      <c r="C790" s="7" t="s">
        <v>130</v>
      </c>
      <c r="D790" s="7" t="s">
        <v>264</v>
      </c>
      <c r="E790" s="7" t="s">
        <v>33</v>
      </c>
      <c r="F790" s="7" t="s">
        <v>52</v>
      </c>
      <c r="G790" s="11">
        <v>23247.420520650947</v>
      </c>
    </row>
    <row r="791" spans="1:7" hidden="1">
      <c r="A791" t="str">
        <f t="shared" si="12"/>
        <v>USADO-07UB-Plus-SÉRIE 4</v>
      </c>
      <c r="B791" s="7" t="s">
        <v>39</v>
      </c>
      <c r="C791" s="7" t="s">
        <v>133</v>
      </c>
      <c r="D791" s="7"/>
      <c r="E791" s="7" t="s">
        <v>10</v>
      </c>
      <c r="F791" s="7" t="s">
        <v>52</v>
      </c>
      <c r="G791" s="11">
        <v>41050.277871037921</v>
      </c>
    </row>
    <row r="792" spans="1:7" hidden="1">
      <c r="A792" t="str">
        <f t="shared" si="12"/>
        <v>USADO-07US-Standard-M3</v>
      </c>
      <c r="B792" s="7" t="s">
        <v>39</v>
      </c>
      <c r="C792" s="7" t="s">
        <v>34</v>
      </c>
      <c r="D792" s="7" t="s">
        <v>254</v>
      </c>
      <c r="E792" s="7" t="s">
        <v>33</v>
      </c>
      <c r="F792" s="7" t="s">
        <v>101</v>
      </c>
      <c r="G792" s="11">
        <v>18407.808813749634</v>
      </c>
    </row>
    <row r="793" spans="1:7" hidden="1">
      <c r="A793" t="str">
        <f t="shared" si="12"/>
        <v>USADO-07D7-Plus-M3</v>
      </c>
      <c r="B793" s="7" t="s">
        <v>39</v>
      </c>
      <c r="C793" s="7" t="s">
        <v>42</v>
      </c>
      <c r="D793" s="7"/>
      <c r="E793" s="7" t="s">
        <v>10</v>
      </c>
      <c r="F793" s="7" t="s">
        <v>101</v>
      </c>
      <c r="G793" s="11">
        <v>22728.890694911519</v>
      </c>
    </row>
    <row r="794" spans="1:7" hidden="1">
      <c r="A794" t="str">
        <f t="shared" si="12"/>
        <v>USADO-07NG-Standard-M3</v>
      </c>
      <c r="B794" s="7" t="s">
        <v>39</v>
      </c>
      <c r="C794" s="7" t="s">
        <v>49</v>
      </c>
      <c r="D794" s="7" t="s">
        <v>255</v>
      </c>
      <c r="E794" s="7" t="s">
        <v>33</v>
      </c>
      <c r="F794" s="7" t="s">
        <v>101</v>
      </c>
      <c r="G794" s="11">
        <v>22556.047419665047</v>
      </c>
    </row>
    <row r="795" spans="1:7" hidden="1">
      <c r="A795" t="str">
        <f t="shared" si="12"/>
        <v>USADO-07NM-Plus-M3</v>
      </c>
      <c r="B795" s="7" t="s">
        <v>39</v>
      </c>
      <c r="C795" s="7" t="s">
        <v>53</v>
      </c>
      <c r="D795" s="7"/>
      <c r="E795" s="7" t="s">
        <v>10</v>
      </c>
      <c r="F795" s="7" t="s">
        <v>101</v>
      </c>
      <c r="G795" s="11">
        <v>43556.505362111813</v>
      </c>
    </row>
    <row r="796" spans="1:7" hidden="1">
      <c r="A796" t="str">
        <f t="shared" si="12"/>
        <v>USADO-07DA-Standard-M3</v>
      </c>
      <c r="B796" s="7" t="s">
        <v>39</v>
      </c>
      <c r="C796" s="7" t="s">
        <v>58</v>
      </c>
      <c r="D796" s="7" t="s">
        <v>256</v>
      </c>
      <c r="E796" s="7" t="s">
        <v>33</v>
      </c>
      <c r="F796" s="7" t="s">
        <v>101</v>
      </c>
      <c r="G796" s="11">
        <v>31716.741007728244</v>
      </c>
    </row>
    <row r="797" spans="1:7" hidden="1">
      <c r="A797" t="str">
        <f t="shared" si="12"/>
        <v>USADO-07DB-Plus-M3</v>
      </c>
      <c r="B797" s="7" t="s">
        <v>39</v>
      </c>
      <c r="C797" s="7" t="s">
        <v>62</v>
      </c>
      <c r="D797" s="7"/>
      <c r="E797" s="7" t="s">
        <v>10</v>
      </c>
      <c r="F797" s="7" t="s">
        <v>101</v>
      </c>
      <c r="G797" s="11">
        <v>55741.956266988331</v>
      </c>
    </row>
    <row r="798" spans="1:7" hidden="1">
      <c r="A798" t="str">
        <f t="shared" si="12"/>
        <v>USADO-07DD-Standard-M3</v>
      </c>
      <c r="B798" s="7" t="s">
        <v>39</v>
      </c>
      <c r="C798" s="7" t="s">
        <v>67</v>
      </c>
      <c r="D798" s="7" t="s">
        <v>257</v>
      </c>
      <c r="E798" s="7" t="s">
        <v>33</v>
      </c>
      <c r="F798" s="7" t="s">
        <v>101</v>
      </c>
      <c r="G798" s="11">
        <v>22988.155607781235</v>
      </c>
    </row>
    <row r="799" spans="1:7" hidden="1">
      <c r="A799" t="str">
        <f t="shared" si="12"/>
        <v>USADO-07DE-Plus-M3</v>
      </c>
      <c r="B799" s="7" t="s">
        <v>39</v>
      </c>
      <c r="C799" s="7" t="s">
        <v>71</v>
      </c>
      <c r="D799" s="7"/>
      <c r="E799" s="7" t="s">
        <v>10</v>
      </c>
      <c r="F799" s="7" t="s">
        <v>101</v>
      </c>
      <c r="G799" s="11">
        <v>43988.613550228001</v>
      </c>
    </row>
    <row r="800" spans="1:7" hidden="1">
      <c r="A800" t="str">
        <f t="shared" si="12"/>
        <v>USADO-07NX-Standard-M3</v>
      </c>
      <c r="B800" s="7" t="s">
        <v>39</v>
      </c>
      <c r="C800" s="7" t="s">
        <v>76</v>
      </c>
      <c r="D800" s="7" t="s">
        <v>258</v>
      </c>
      <c r="E800" s="7" t="s">
        <v>33</v>
      </c>
      <c r="F800" s="7" t="s">
        <v>101</v>
      </c>
      <c r="G800" s="11">
        <v>26185.756199841031</v>
      </c>
    </row>
    <row r="801" spans="1:7" hidden="1">
      <c r="A801" t="str">
        <f t="shared" si="12"/>
        <v>USADO-07NY-Plus-M3</v>
      </c>
      <c r="B801" s="7" t="s">
        <v>39</v>
      </c>
      <c r="C801" s="7" t="s">
        <v>80</v>
      </c>
      <c r="D801" s="7"/>
      <c r="E801" s="7" t="s">
        <v>10</v>
      </c>
      <c r="F801" s="7" t="s">
        <v>101</v>
      </c>
      <c r="G801" s="11">
        <v>52803.62058779825</v>
      </c>
    </row>
    <row r="802" spans="1:7" hidden="1">
      <c r="A802" t="str">
        <f t="shared" si="12"/>
        <v>USADO-07N1-Standard-M3</v>
      </c>
      <c r="B802" s="7" t="s">
        <v>39</v>
      </c>
      <c r="C802" s="7" t="s">
        <v>85</v>
      </c>
      <c r="D802" s="7" t="s">
        <v>259</v>
      </c>
      <c r="E802" s="7" t="s">
        <v>33</v>
      </c>
      <c r="F802" s="7" t="s">
        <v>101</v>
      </c>
      <c r="G802" s="11">
        <v>31889.58428297472</v>
      </c>
    </row>
    <row r="803" spans="1:7" hidden="1">
      <c r="A803" t="str">
        <f t="shared" si="12"/>
        <v>USADO-07N2-Plus-M3</v>
      </c>
      <c r="B803" s="7" t="s">
        <v>39</v>
      </c>
      <c r="C803" s="7" t="s">
        <v>89</v>
      </c>
      <c r="D803" s="7"/>
      <c r="E803" s="7" t="s">
        <v>10</v>
      </c>
      <c r="F803" s="7" t="s">
        <v>101</v>
      </c>
      <c r="G803" s="11">
        <v>58766.713583801647</v>
      </c>
    </row>
    <row r="804" spans="1:7" hidden="1">
      <c r="A804" t="str">
        <f t="shared" si="12"/>
        <v>USADO-07N4-Standard-M3</v>
      </c>
      <c r="B804" s="7" t="s">
        <v>39</v>
      </c>
      <c r="C804" s="7" t="s">
        <v>94</v>
      </c>
      <c r="D804" s="7" t="s">
        <v>260</v>
      </c>
      <c r="E804" s="7" t="s">
        <v>33</v>
      </c>
      <c r="F804" s="7" t="s">
        <v>101</v>
      </c>
      <c r="G804" s="11">
        <v>37506.990728485172</v>
      </c>
    </row>
    <row r="805" spans="1:7" hidden="1">
      <c r="A805" t="str">
        <f t="shared" si="12"/>
        <v>USADO-07N5-Plus-M3</v>
      </c>
      <c r="B805" s="7" t="s">
        <v>39</v>
      </c>
      <c r="C805" s="7" t="s">
        <v>98</v>
      </c>
      <c r="D805" s="7"/>
      <c r="E805" s="7" t="s">
        <v>10</v>
      </c>
      <c r="F805" s="7" t="s">
        <v>101</v>
      </c>
      <c r="G805" s="11">
        <v>79248.64170050899</v>
      </c>
    </row>
    <row r="806" spans="1:7" hidden="1">
      <c r="A806" t="str">
        <f t="shared" si="12"/>
        <v>USADO-07NW-Standard-M3</v>
      </c>
      <c r="B806" s="7" t="s">
        <v>39</v>
      </c>
      <c r="C806" s="7" t="s">
        <v>103</v>
      </c>
      <c r="D806" s="7" t="s">
        <v>261</v>
      </c>
      <c r="E806" s="7" t="s">
        <v>33</v>
      </c>
      <c r="F806" s="7" t="s">
        <v>101</v>
      </c>
      <c r="G806" s="11">
        <v>23506.685433520659</v>
      </c>
    </row>
    <row r="807" spans="1:7" hidden="1">
      <c r="A807" t="str">
        <f t="shared" si="12"/>
        <v>USADO-07NK-Plus-M3</v>
      </c>
      <c r="B807" s="7" t="s">
        <v>39</v>
      </c>
      <c r="C807" s="7" t="s">
        <v>107</v>
      </c>
      <c r="D807" s="7"/>
      <c r="E807" s="7" t="s">
        <v>10</v>
      </c>
      <c r="F807" s="7" t="s">
        <v>101</v>
      </c>
      <c r="G807" s="11">
        <v>44507.143375967426</v>
      </c>
    </row>
    <row r="808" spans="1:7" hidden="1">
      <c r="A808" t="str">
        <f t="shared" si="12"/>
        <v>USADO-07N7-Standard-M3</v>
      </c>
      <c r="B808" s="7" t="s">
        <v>39</v>
      </c>
      <c r="C808" s="7" t="s">
        <v>112</v>
      </c>
      <c r="D808" s="7" t="s">
        <v>262</v>
      </c>
      <c r="E808" s="7" t="s">
        <v>33</v>
      </c>
      <c r="F808" s="7" t="s">
        <v>101</v>
      </c>
      <c r="G808" s="11">
        <v>26790.707663203695</v>
      </c>
    </row>
    <row r="809" spans="1:7" hidden="1">
      <c r="A809" t="str">
        <f t="shared" si="12"/>
        <v>USADO-07N8-Plus-M3</v>
      </c>
      <c r="B809" s="7" t="s">
        <v>39</v>
      </c>
      <c r="C809" s="7" t="s">
        <v>116</v>
      </c>
      <c r="D809" s="7"/>
      <c r="E809" s="7" t="s">
        <v>10</v>
      </c>
      <c r="F809" s="7" t="s">
        <v>101</v>
      </c>
      <c r="G809" s="11">
        <v>53322.150413537674</v>
      </c>
    </row>
    <row r="810" spans="1:7" hidden="1">
      <c r="A810" t="str">
        <f t="shared" si="12"/>
        <v>USADO-07NH-Standard-M3</v>
      </c>
      <c r="B810" s="7" t="s">
        <v>39</v>
      </c>
      <c r="C810" s="7" t="s">
        <v>121</v>
      </c>
      <c r="D810" s="7" t="s">
        <v>263</v>
      </c>
      <c r="E810" s="7" t="s">
        <v>33</v>
      </c>
      <c r="F810" s="7" t="s">
        <v>101</v>
      </c>
      <c r="G810" s="11">
        <v>31976.005920597956</v>
      </c>
    </row>
    <row r="811" spans="1:7" hidden="1">
      <c r="A811" t="str">
        <f t="shared" si="12"/>
        <v>USADO-07NA-Plus-M3</v>
      </c>
      <c r="B811" s="7" t="s">
        <v>39</v>
      </c>
      <c r="C811" s="7" t="s">
        <v>125</v>
      </c>
      <c r="D811" s="7"/>
      <c r="E811" s="7" t="s">
        <v>10</v>
      </c>
      <c r="F811" s="7" t="s">
        <v>101</v>
      </c>
      <c r="G811" s="11">
        <v>59025.978496671363</v>
      </c>
    </row>
    <row r="812" spans="1:7" hidden="1">
      <c r="A812" t="str">
        <f t="shared" si="12"/>
        <v>USADO-07UA-Standard-M3</v>
      </c>
      <c r="B812" s="7" t="s">
        <v>39</v>
      </c>
      <c r="C812" s="7" t="s">
        <v>130</v>
      </c>
      <c r="D812" s="7" t="s">
        <v>264</v>
      </c>
      <c r="E812" s="7" t="s">
        <v>33</v>
      </c>
      <c r="F812" s="7" t="s">
        <v>101</v>
      </c>
      <c r="G812" s="11">
        <v>39062.580205703453</v>
      </c>
    </row>
    <row r="813" spans="1:7" hidden="1">
      <c r="A813" t="str">
        <f t="shared" si="12"/>
        <v>USADO-07UB-Plus-M3</v>
      </c>
      <c r="B813" s="7" t="s">
        <v>39</v>
      </c>
      <c r="C813" s="7" t="s">
        <v>133</v>
      </c>
      <c r="D813" s="7"/>
      <c r="E813" s="7" t="s">
        <v>10</v>
      </c>
      <c r="F813" s="7" t="s">
        <v>101</v>
      </c>
      <c r="G813" s="11">
        <v>83137.61539355469</v>
      </c>
    </row>
    <row r="814" spans="1:7" hidden="1">
      <c r="A814" t="str">
        <f t="shared" si="12"/>
        <v>USADO-07US-Standard-M4</v>
      </c>
      <c r="B814" s="7" t="s">
        <v>39</v>
      </c>
      <c r="C814" s="7" t="s">
        <v>34</v>
      </c>
      <c r="D814" s="7" t="s">
        <v>254</v>
      </c>
      <c r="E814" s="7" t="s">
        <v>33</v>
      </c>
      <c r="F814" s="7" t="s">
        <v>106</v>
      </c>
      <c r="G814" s="11">
        <v>18407.808813749634</v>
      </c>
    </row>
    <row r="815" spans="1:7" hidden="1">
      <c r="A815" t="str">
        <f t="shared" si="12"/>
        <v>USADO-07D7-Plus-M4</v>
      </c>
      <c r="B815" s="7" t="s">
        <v>39</v>
      </c>
      <c r="C815" s="7" t="s">
        <v>42</v>
      </c>
      <c r="D815" s="7"/>
      <c r="E815" s="7" t="s">
        <v>10</v>
      </c>
      <c r="F815" s="7" t="s">
        <v>106</v>
      </c>
      <c r="G815" s="11">
        <v>22728.890694911519</v>
      </c>
    </row>
    <row r="816" spans="1:7" hidden="1">
      <c r="A816" t="str">
        <f t="shared" si="12"/>
        <v>USADO-07NG-Standard-M4</v>
      </c>
      <c r="B816" s="7" t="s">
        <v>39</v>
      </c>
      <c r="C816" s="7" t="s">
        <v>49</v>
      </c>
      <c r="D816" s="7" t="s">
        <v>255</v>
      </c>
      <c r="E816" s="7" t="s">
        <v>33</v>
      </c>
      <c r="F816" s="7" t="s">
        <v>106</v>
      </c>
      <c r="G816" s="11">
        <v>22556.047419665047</v>
      </c>
    </row>
    <row r="817" spans="1:7" hidden="1">
      <c r="A817" t="str">
        <f t="shared" si="12"/>
        <v>USADO-07NM-Plus-M4</v>
      </c>
      <c r="B817" s="7" t="s">
        <v>39</v>
      </c>
      <c r="C817" s="7" t="s">
        <v>53</v>
      </c>
      <c r="D817" s="7"/>
      <c r="E817" s="7" t="s">
        <v>10</v>
      </c>
      <c r="F817" s="7" t="s">
        <v>106</v>
      </c>
      <c r="G817" s="11">
        <v>43556.505362111813</v>
      </c>
    </row>
    <row r="818" spans="1:7" hidden="1">
      <c r="A818" t="str">
        <f t="shared" si="12"/>
        <v>USADO-07DA-Standard-M4</v>
      </c>
      <c r="B818" s="7" t="s">
        <v>39</v>
      </c>
      <c r="C818" s="7" t="s">
        <v>58</v>
      </c>
      <c r="D818" s="7" t="s">
        <v>256</v>
      </c>
      <c r="E818" s="7" t="s">
        <v>33</v>
      </c>
      <c r="F818" s="7" t="s">
        <v>106</v>
      </c>
      <c r="G818" s="11">
        <v>31716.741007728244</v>
      </c>
    </row>
    <row r="819" spans="1:7" hidden="1">
      <c r="A819" t="str">
        <f t="shared" si="12"/>
        <v>USADO-07DB-Plus-M4</v>
      </c>
      <c r="B819" s="7" t="s">
        <v>39</v>
      </c>
      <c r="C819" s="7" t="s">
        <v>62</v>
      </c>
      <c r="D819" s="7"/>
      <c r="E819" s="7" t="s">
        <v>10</v>
      </c>
      <c r="F819" s="7" t="s">
        <v>106</v>
      </c>
      <c r="G819" s="11">
        <v>55741.956266988331</v>
      </c>
    </row>
    <row r="820" spans="1:7" hidden="1">
      <c r="A820" t="str">
        <f t="shared" si="12"/>
        <v>USADO-07DD-Standard-M4</v>
      </c>
      <c r="B820" s="7" t="s">
        <v>39</v>
      </c>
      <c r="C820" s="7" t="s">
        <v>67</v>
      </c>
      <c r="D820" s="7" t="s">
        <v>257</v>
      </c>
      <c r="E820" s="7" t="s">
        <v>33</v>
      </c>
      <c r="F820" s="7" t="s">
        <v>106</v>
      </c>
      <c r="G820" s="11">
        <v>22988.155607781235</v>
      </c>
    </row>
    <row r="821" spans="1:7" hidden="1">
      <c r="A821" t="str">
        <f t="shared" si="12"/>
        <v>USADO-07DE-Plus-M4</v>
      </c>
      <c r="B821" s="7" t="s">
        <v>39</v>
      </c>
      <c r="C821" s="7" t="s">
        <v>71</v>
      </c>
      <c r="D821" s="7"/>
      <c r="E821" s="7" t="s">
        <v>10</v>
      </c>
      <c r="F821" s="7" t="s">
        <v>106</v>
      </c>
      <c r="G821" s="11">
        <v>43988.613550228001</v>
      </c>
    </row>
    <row r="822" spans="1:7" hidden="1">
      <c r="A822" t="str">
        <f t="shared" si="12"/>
        <v>USADO-07NX-Standard-M4</v>
      </c>
      <c r="B822" s="7" t="s">
        <v>39</v>
      </c>
      <c r="C822" s="7" t="s">
        <v>76</v>
      </c>
      <c r="D822" s="7" t="s">
        <v>258</v>
      </c>
      <c r="E822" s="7" t="s">
        <v>33</v>
      </c>
      <c r="F822" s="7" t="s">
        <v>106</v>
      </c>
      <c r="G822" s="11">
        <v>26185.756199841031</v>
      </c>
    </row>
    <row r="823" spans="1:7" hidden="1">
      <c r="A823" t="str">
        <f t="shared" si="12"/>
        <v>USADO-07NY-Plus-M4</v>
      </c>
      <c r="B823" s="7" t="s">
        <v>39</v>
      </c>
      <c r="C823" s="7" t="s">
        <v>80</v>
      </c>
      <c r="D823" s="7"/>
      <c r="E823" s="7" t="s">
        <v>10</v>
      </c>
      <c r="F823" s="7" t="s">
        <v>106</v>
      </c>
      <c r="G823" s="11">
        <v>52803.62058779825</v>
      </c>
    </row>
    <row r="824" spans="1:7" hidden="1">
      <c r="A824" t="str">
        <f t="shared" si="12"/>
        <v>USADO-07N1-Standard-M4</v>
      </c>
      <c r="B824" s="7" t="s">
        <v>39</v>
      </c>
      <c r="C824" s="7" t="s">
        <v>85</v>
      </c>
      <c r="D824" s="7" t="s">
        <v>259</v>
      </c>
      <c r="E824" s="7" t="s">
        <v>33</v>
      </c>
      <c r="F824" s="7" t="s">
        <v>106</v>
      </c>
      <c r="G824" s="11">
        <v>31889.58428297472</v>
      </c>
    </row>
    <row r="825" spans="1:7" hidden="1">
      <c r="A825" t="str">
        <f t="shared" si="12"/>
        <v>USADO-07N2-Plus-M4</v>
      </c>
      <c r="B825" s="7" t="s">
        <v>39</v>
      </c>
      <c r="C825" s="7" t="s">
        <v>89</v>
      </c>
      <c r="D825" s="7"/>
      <c r="E825" s="7" t="s">
        <v>10</v>
      </c>
      <c r="F825" s="7" t="s">
        <v>106</v>
      </c>
      <c r="G825" s="11">
        <v>58766.713583801647</v>
      </c>
    </row>
    <row r="826" spans="1:7" hidden="1">
      <c r="A826" t="str">
        <f t="shared" si="12"/>
        <v>USADO-07N4-Standard-M4</v>
      </c>
      <c r="B826" s="7" t="s">
        <v>39</v>
      </c>
      <c r="C826" s="7" t="s">
        <v>94</v>
      </c>
      <c r="D826" s="7" t="s">
        <v>260</v>
      </c>
      <c r="E826" s="7" t="s">
        <v>33</v>
      </c>
      <c r="F826" s="7" t="s">
        <v>106</v>
      </c>
      <c r="G826" s="11">
        <v>37506.990728485172</v>
      </c>
    </row>
    <row r="827" spans="1:7" hidden="1">
      <c r="A827" t="str">
        <f t="shared" si="12"/>
        <v>USADO-07N5-Plus-M4</v>
      </c>
      <c r="B827" s="7" t="s">
        <v>39</v>
      </c>
      <c r="C827" s="7" t="s">
        <v>98</v>
      </c>
      <c r="D827" s="7"/>
      <c r="E827" s="7" t="s">
        <v>10</v>
      </c>
      <c r="F827" s="7" t="s">
        <v>106</v>
      </c>
      <c r="G827" s="11">
        <v>79248.64170050899</v>
      </c>
    </row>
    <row r="828" spans="1:7" hidden="1">
      <c r="A828" t="str">
        <f t="shared" si="12"/>
        <v>USADO-07NW-Standard-M4</v>
      </c>
      <c r="B828" s="7" t="s">
        <v>39</v>
      </c>
      <c r="C828" s="7" t="s">
        <v>103</v>
      </c>
      <c r="D828" s="7" t="s">
        <v>261</v>
      </c>
      <c r="E828" s="7" t="s">
        <v>33</v>
      </c>
      <c r="F828" s="7" t="s">
        <v>106</v>
      </c>
      <c r="G828" s="11">
        <v>23506.685433520659</v>
      </c>
    </row>
    <row r="829" spans="1:7" hidden="1">
      <c r="A829" t="str">
        <f t="shared" si="12"/>
        <v>USADO-07NK-Plus-M4</v>
      </c>
      <c r="B829" s="7" t="s">
        <v>39</v>
      </c>
      <c r="C829" s="7" t="s">
        <v>107</v>
      </c>
      <c r="D829" s="7"/>
      <c r="E829" s="7" t="s">
        <v>10</v>
      </c>
      <c r="F829" s="7" t="s">
        <v>106</v>
      </c>
      <c r="G829" s="11">
        <v>44507.143375967426</v>
      </c>
    </row>
    <row r="830" spans="1:7" hidden="1">
      <c r="A830" t="str">
        <f t="shared" si="12"/>
        <v>USADO-07N7-Standard-M4</v>
      </c>
      <c r="B830" s="7" t="s">
        <v>39</v>
      </c>
      <c r="C830" s="7" t="s">
        <v>112</v>
      </c>
      <c r="D830" s="7" t="s">
        <v>262</v>
      </c>
      <c r="E830" s="7" t="s">
        <v>33</v>
      </c>
      <c r="F830" s="7" t="s">
        <v>106</v>
      </c>
      <c r="G830" s="11">
        <v>26790.707663203695</v>
      </c>
    </row>
    <row r="831" spans="1:7" hidden="1">
      <c r="A831" t="str">
        <f t="shared" si="12"/>
        <v>USADO-07N8-Plus-M4</v>
      </c>
      <c r="B831" s="7" t="s">
        <v>39</v>
      </c>
      <c r="C831" s="7" t="s">
        <v>116</v>
      </c>
      <c r="D831" s="7"/>
      <c r="E831" s="7" t="s">
        <v>10</v>
      </c>
      <c r="F831" s="7" t="s">
        <v>106</v>
      </c>
      <c r="G831" s="11">
        <v>53322.150413537674</v>
      </c>
    </row>
    <row r="832" spans="1:7" hidden="1">
      <c r="A832" t="str">
        <f t="shared" si="12"/>
        <v>USADO-07NH-Standard-M4</v>
      </c>
      <c r="B832" s="7" t="s">
        <v>39</v>
      </c>
      <c r="C832" s="7" t="s">
        <v>121</v>
      </c>
      <c r="D832" s="7" t="s">
        <v>263</v>
      </c>
      <c r="E832" s="7" t="s">
        <v>33</v>
      </c>
      <c r="F832" s="7" t="s">
        <v>106</v>
      </c>
      <c r="G832" s="11">
        <v>31976.005920597956</v>
      </c>
    </row>
    <row r="833" spans="1:7" hidden="1">
      <c r="A833" t="str">
        <f t="shared" si="12"/>
        <v>USADO-07NA-Plus-M4</v>
      </c>
      <c r="B833" s="7" t="s">
        <v>39</v>
      </c>
      <c r="C833" s="7" t="s">
        <v>125</v>
      </c>
      <c r="D833" s="7"/>
      <c r="E833" s="7" t="s">
        <v>10</v>
      </c>
      <c r="F833" s="7" t="s">
        <v>106</v>
      </c>
      <c r="G833" s="11">
        <v>59025.978496671363</v>
      </c>
    </row>
    <row r="834" spans="1:7" hidden="1">
      <c r="A834" t="str">
        <f t="shared" si="12"/>
        <v>USADO-07UA-Standard-M4</v>
      </c>
      <c r="B834" s="7" t="s">
        <v>39</v>
      </c>
      <c r="C834" s="7" t="s">
        <v>130</v>
      </c>
      <c r="D834" s="7" t="s">
        <v>264</v>
      </c>
      <c r="E834" s="7" t="s">
        <v>33</v>
      </c>
      <c r="F834" s="7" t="s">
        <v>106</v>
      </c>
      <c r="G834" s="11">
        <v>39062.580205703453</v>
      </c>
    </row>
    <row r="835" spans="1:7" hidden="1">
      <c r="A835" t="str">
        <f t="shared" si="12"/>
        <v>USADO-07UB-Plus-M4</v>
      </c>
      <c r="B835" s="7" t="s">
        <v>39</v>
      </c>
      <c r="C835" s="7" t="s">
        <v>133</v>
      </c>
      <c r="D835" s="7"/>
      <c r="E835" s="7" t="s">
        <v>10</v>
      </c>
      <c r="F835" s="7" t="s">
        <v>106</v>
      </c>
      <c r="G835" s="11">
        <v>83137.61539355469</v>
      </c>
    </row>
    <row r="836" spans="1:7" hidden="1">
      <c r="A836" t="str">
        <f t="shared" si="12"/>
        <v>USADO-07US-Standard-SÉRIE 5</v>
      </c>
      <c r="B836" s="7" t="s">
        <v>39</v>
      </c>
      <c r="C836" s="7" t="s">
        <v>34</v>
      </c>
      <c r="D836" s="7" t="s">
        <v>254</v>
      </c>
      <c r="E836" s="7" t="s">
        <v>33</v>
      </c>
      <c r="F836" s="7" t="s">
        <v>56</v>
      </c>
      <c r="G836" s="11">
        <v>10889.126340527953</v>
      </c>
    </row>
    <row r="837" spans="1:7" hidden="1">
      <c r="A837" t="str">
        <f t="shared" si="12"/>
        <v>USADO-07D7-Plus-SÉRIE 5</v>
      </c>
      <c r="B837" s="7" t="s">
        <v>39</v>
      </c>
      <c r="C837" s="7" t="s">
        <v>42</v>
      </c>
      <c r="D837" s="7"/>
      <c r="E837" s="7" t="s">
        <v>10</v>
      </c>
      <c r="F837" s="7" t="s">
        <v>56</v>
      </c>
      <c r="G837" s="11">
        <v>14778.10003357365</v>
      </c>
    </row>
    <row r="838" spans="1:7" hidden="1">
      <c r="A838" t="str">
        <f t="shared" si="12"/>
        <v>USADO-07NG-Standard-SÉRIE 5</v>
      </c>
      <c r="B838" s="7" t="s">
        <v>39</v>
      </c>
      <c r="C838" s="7" t="s">
        <v>49</v>
      </c>
      <c r="D838" s="7" t="s">
        <v>255</v>
      </c>
      <c r="E838" s="7" t="s">
        <v>33</v>
      </c>
      <c r="F838" s="7" t="s">
        <v>56</v>
      </c>
      <c r="G838" s="11">
        <v>15901.58132267574</v>
      </c>
    </row>
    <row r="839" spans="1:7" hidden="1">
      <c r="A839" t="str">
        <f t="shared" si="12"/>
        <v>USADO-07NM-Plus-SÉRIE 5</v>
      </c>
      <c r="B839" s="7" t="s">
        <v>39</v>
      </c>
      <c r="C839" s="7" t="s">
        <v>53</v>
      </c>
      <c r="D839" s="7"/>
      <c r="E839" s="7" t="s">
        <v>10</v>
      </c>
      <c r="F839" s="7" t="s">
        <v>56</v>
      </c>
      <c r="G839" s="11">
        <v>28346.297140421972</v>
      </c>
    </row>
    <row r="840" spans="1:7" hidden="1">
      <c r="A840" t="str">
        <f t="shared" si="12"/>
        <v>USADO-07DA-Standard-SÉRIE 5</v>
      </c>
      <c r="B840" s="7" t="s">
        <v>39</v>
      </c>
      <c r="C840" s="7" t="s">
        <v>58</v>
      </c>
      <c r="D840" s="7" t="s">
        <v>256</v>
      </c>
      <c r="E840" s="7" t="s">
        <v>33</v>
      </c>
      <c r="F840" s="7" t="s">
        <v>56</v>
      </c>
      <c r="G840" s="11">
        <v>22037.517593925619</v>
      </c>
    </row>
    <row r="841" spans="1:7" hidden="1">
      <c r="A841" t="str">
        <f t="shared" si="12"/>
        <v>USADO-07DB-Plus-SÉRIE 5</v>
      </c>
      <c r="B841" s="7" t="s">
        <v>39</v>
      </c>
      <c r="C841" s="7" t="s">
        <v>62</v>
      </c>
      <c r="D841" s="7"/>
      <c r="E841" s="7" t="s">
        <v>10</v>
      </c>
      <c r="F841" s="7" t="s">
        <v>56</v>
      </c>
      <c r="G841" s="11">
        <v>39753.953306689349</v>
      </c>
    </row>
    <row r="842" spans="1:7" hidden="1">
      <c r="A842" t="str">
        <f t="shared" si="12"/>
        <v>USADO-07DD-Standard-SÉRIE 5</v>
      </c>
      <c r="B842" s="7" t="s">
        <v>39</v>
      </c>
      <c r="C842" s="7" t="s">
        <v>67</v>
      </c>
      <c r="D842" s="7" t="s">
        <v>257</v>
      </c>
      <c r="E842" s="7" t="s">
        <v>33</v>
      </c>
      <c r="F842" s="7" t="s">
        <v>56</v>
      </c>
      <c r="G842" s="11">
        <v>15988.002960298978</v>
      </c>
    </row>
    <row r="843" spans="1:7" hidden="1">
      <c r="A843" t="str">
        <f t="shared" si="12"/>
        <v>USADO-07DE-Plus-SÉRIE 5</v>
      </c>
      <c r="B843" s="7" t="s">
        <v>39</v>
      </c>
      <c r="C843" s="7" t="s">
        <v>71</v>
      </c>
      <c r="D843" s="7"/>
      <c r="E843" s="7" t="s">
        <v>10</v>
      </c>
      <c r="F843" s="7" t="s">
        <v>56</v>
      </c>
      <c r="G843" s="11">
        <v>28519.140415668448</v>
      </c>
    </row>
    <row r="844" spans="1:7" hidden="1">
      <c r="A844" t="str">
        <f t="shared" si="12"/>
        <v>USADO-07NX-Standard-SÉRIE 5</v>
      </c>
      <c r="B844" s="7" t="s">
        <v>39</v>
      </c>
      <c r="C844" s="7" t="s">
        <v>76</v>
      </c>
      <c r="D844" s="7" t="s">
        <v>258</v>
      </c>
      <c r="E844" s="7" t="s">
        <v>33</v>
      </c>
      <c r="F844" s="7" t="s">
        <v>56</v>
      </c>
      <c r="G844" s="11">
        <v>18321.387176126398</v>
      </c>
    </row>
    <row r="845" spans="1:7" hidden="1">
      <c r="A845" t="str">
        <f t="shared" si="12"/>
        <v>USADO-07NY-Plus-SÉRIE 5</v>
      </c>
      <c r="B845" s="7" t="s">
        <v>39</v>
      </c>
      <c r="C845" s="7" t="s">
        <v>80</v>
      </c>
      <c r="D845" s="7"/>
      <c r="E845" s="7" t="s">
        <v>10</v>
      </c>
      <c r="F845" s="7" t="s">
        <v>56</v>
      </c>
      <c r="G845" s="11">
        <v>33099.487209700048</v>
      </c>
    </row>
    <row r="846" spans="1:7" hidden="1">
      <c r="A846" t="str">
        <f t="shared" ref="A846:A909" si="13">B846&amp;"-"&amp;C846&amp;"-"&amp;E846&amp;"-"&amp;F846</f>
        <v>USADO-07N1-Standard-SÉRIE 5</v>
      </c>
      <c r="B846" s="7" t="s">
        <v>39</v>
      </c>
      <c r="C846" s="7" t="s">
        <v>85</v>
      </c>
      <c r="D846" s="7" t="s">
        <v>259</v>
      </c>
      <c r="E846" s="7" t="s">
        <v>33</v>
      </c>
      <c r="F846" s="7" t="s">
        <v>56</v>
      </c>
      <c r="G846" s="11">
        <v>22123.939231548859</v>
      </c>
    </row>
    <row r="847" spans="1:7" hidden="1">
      <c r="A847" t="str">
        <f t="shared" si="13"/>
        <v>USADO-07N2-Plus-SÉRIE 5</v>
      </c>
      <c r="B847" s="7" t="s">
        <v>39</v>
      </c>
      <c r="C847" s="7" t="s">
        <v>89</v>
      </c>
      <c r="D847" s="7"/>
      <c r="E847" s="7" t="s">
        <v>10</v>
      </c>
      <c r="F847" s="7" t="s">
        <v>56</v>
      </c>
      <c r="G847" s="11">
        <v>40099.639857182301</v>
      </c>
    </row>
    <row r="848" spans="1:7" hidden="1">
      <c r="A848" t="str">
        <f t="shared" si="13"/>
        <v>USADO-07N4-Standard-SÉRIE 5</v>
      </c>
      <c r="B848" s="7" t="s">
        <v>39</v>
      </c>
      <c r="C848" s="7" t="s">
        <v>94</v>
      </c>
      <c r="D848" s="7" t="s">
        <v>260</v>
      </c>
      <c r="E848" s="7" t="s">
        <v>33</v>
      </c>
      <c r="F848" s="7" t="s">
        <v>56</v>
      </c>
      <c r="G848" s="11">
        <v>27136.394213696643</v>
      </c>
    </row>
    <row r="849" spans="1:7" hidden="1">
      <c r="A849" t="str">
        <f t="shared" si="13"/>
        <v>USADO-07N5-Plus-SÉRIE 5</v>
      </c>
      <c r="B849" s="7" t="s">
        <v>39</v>
      </c>
      <c r="C849" s="7" t="s">
        <v>98</v>
      </c>
      <c r="D849" s="7"/>
      <c r="E849" s="7" t="s">
        <v>10</v>
      </c>
      <c r="F849" s="7" t="s">
        <v>56</v>
      </c>
      <c r="G849" s="11">
        <v>47186.214142287798</v>
      </c>
    </row>
    <row r="850" spans="1:7" hidden="1">
      <c r="A850" t="str">
        <f t="shared" si="13"/>
        <v>USADO-07NW-Standard-SÉRIE 5</v>
      </c>
      <c r="B850" s="7" t="s">
        <v>39</v>
      </c>
      <c r="C850" s="7" t="s">
        <v>103</v>
      </c>
      <c r="D850" s="7" t="s">
        <v>261</v>
      </c>
      <c r="E850" s="7" t="s">
        <v>33</v>
      </c>
      <c r="F850" s="7" t="s">
        <v>56</v>
      </c>
      <c r="G850" s="11">
        <v>16852.219336531354</v>
      </c>
    </row>
    <row r="851" spans="1:7" hidden="1">
      <c r="A851" t="str">
        <f t="shared" si="13"/>
        <v>USADO-07NK-Plus-SÉRIE 5</v>
      </c>
      <c r="B851" s="7" t="s">
        <v>39</v>
      </c>
      <c r="C851" s="7" t="s">
        <v>107</v>
      </c>
      <c r="D851" s="7"/>
      <c r="E851" s="7" t="s">
        <v>10</v>
      </c>
      <c r="F851" s="7" t="s">
        <v>56</v>
      </c>
      <c r="G851" s="11">
        <v>29124.091879031112</v>
      </c>
    </row>
    <row r="852" spans="1:7" hidden="1">
      <c r="A852" t="str">
        <f t="shared" si="13"/>
        <v>USADO-07N7-Standard-SÉRIE 5</v>
      </c>
      <c r="B852" s="7" t="s">
        <v>39</v>
      </c>
      <c r="C852" s="7" t="s">
        <v>112</v>
      </c>
      <c r="D852" s="7" t="s">
        <v>262</v>
      </c>
      <c r="E852" s="7" t="s">
        <v>33</v>
      </c>
      <c r="F852" s="7" t="s">
        <v>56</v>
      </c>
      <c r="G852" s="11">
        <v>19185.603552358774</v>
      </c>
    </row>
    <row r="853" spans="1:7" hidden="1">
      <c r="A853" t="str">
        <f t="shared" si="13"/>
        <v>USADO-07N8-Plus-SÉRIE 5</v>
      </c>
      <c r="B853" s="7" t="s">
        <v>39</v>
      </c>
      <c r="C853" s="7" t="s">
        <v>116</v>
      </c>
      <c r="D853" s="7"/>
      <c r="E853" s="7" t="s">
        <v>10</v>
      </c>
      <c r="F853" s="7" t="s">
        <v>56</v>
      </c>
      <c r="G853" s="11">
        <v>33963.703585932424</v>
      </c>
    </row>
    <row r="854" spans="1:7" hidden="1">
      <c r="A854" t="str">
        <f t="shared" si="13"/>
        <v>USADO-07NH-Standard-SÉRIE 5</v>
      </c>
      <c r="B854" s="7" t="s">
        <v>39</v>
      </c>
      <c r="C854" s="7" t="s">
        <v>121</v>
      </c>
      <c r="D854" s="7" t="s">
        <v>263</v>
      </c>
      <c r="E854" s="7" t="s">
        <v>33</v>
      </c>
      <c r="F854" s="7" t="s">
        <v>56</v>
      </c>
      <c r="G854" s="11">
        <v>22210.360869172095</v>
      </c>
    </row>
    <row r="855" spans="1:7" hidden="1">
      <c r="A855" t="str">
        <f t="shared" si="13"/>
        <v>USADO-07NA-Plus-SÉRIE 5</v>
      </c>
      <c r="B855" s="7" t="s">
        <v>39</v>
      </c>
      <c r="C855" s="7" t="s">
        <v>125</v>
      </c>
      <c r="D855" s="7"/>
      <c r="E855" s="7" t="s">
        <v>10</v>
      </c>
      <c r="F855" s="7" t="s">
        <v>56</v>
      </c>
      <c r="G855" s="11">
        <v>40531.748045298489</v>
      </c>
    </row>
    <row r="856" spans="1:7" hidden="1">
      <c r="A856" t="str">
        <f t="shared" si="13"/>
        <v>USADO-07UA-Standard-SÉRIE 5</v>
      </c>
      <c r="B856" s="7" t="s">
        <v>39</v>
      </c>
      <c r="C856" s="7" t="s">
        <v>130</v>
      </c>
      <c r="D856" s="7" t="s">
        <v>264</v>
      </c>
      <c r="E856" s="7" t="s">
        <v>33</v>
      </c>
      <c r="F856" s="7" t="s">
        <v>56</v>
      </c>
      <c r="G856" s="11">
        <v>28259.875502798735</v>
      </c>
    </row>
    <row r="857" spans="1:7" hidden="1">
      <c r="A857" t="str">
        <f t="shared" si="13"/>
        <v>USADO-07UB-Plus-SÉRIE 5</v>
      </c>
      <c r="B857" s="7" t="s">
        <v>39</v>
      </c>
      <c r="C857" s="7" t="s">
        <v>133</v>
      </c>
      <c r="D857" s="7"/>
      <c r="E857" s="7" t="s">
        <v>10</v>
      </c>
      <c r="F857" s="7" t="s">
        <v>56</v>
      </c>
      <c r="G857" s="11">
        <v>48482.538706636362</v>
      </c>
    </row>
    <row r="858" spans="1:7" hidden="1">
      <c r="A858" t="str">
        <f t="shared" si="13"/>
        <v>USADO-07US-Standard-SÉRIE 6</v>
      </c>
      <c r="B858" s="7" t="s">
        <v>39</v>
      </c>
      <c r="C858" s="7" t="s">
        <v>34</v>
      </c>
      <c r="D858" s="7" t="s">
        <v>254</v>
      </c>
      <c r="E858" s="7" t="s">
        <v>33</v>
      </c>
      <c r="F858" s="7" t="s">
        <v>61</v>
      </c>
      <c r="G858" s="11">
        <v>10889.126340527953</v>
      </c>
    </row>
    <row r="859" spans="1:7" hidden="1">
      <c r="A859" t="str">
        <f t="shared" si="13"/>
        <v>USADO-07D7-Plus-SÉRIE 6</v>
      </c>
      <c r="B859" s="7" t="s">
        <v>39</v>
      </c>
      <c r="C859" s="7" t="s">
        <v>42</v>
      </c>
      <c r="D859" s="7"/>
      <c r="E859" s="7" t="s">
        <v>10</v>
      </c>
      <c r="F859" s="7" t="s">
        <v>61</v>
      </c>
      <c r="G859" s="11">
        <v>14778.10003357365</v>
      </c>
    </row>
    <row r="860" spans="1:7" hidden="1">
      <c r="A860" t="str">
        <f t="shared" si="13"/>
        <v>USADO-07NG-Standard-SÉRIE 6</v>
      </c>
      <c r="B860" s="7" t="s">
        <v>39</v>
      </c>
      <c r="C860" s="7" t="s">
        <v>49</v>
      </c>
      <c r="D860" s="7" t="s">
        <v>255</v>
      </c>
      <c r="E860" s="7" t="s">
        <v>33</v>
      </c>
      <c r="F860" s="7" t="s">
        <v>61</v>
      </c>
      <c r="G860" s="11">
        <v>15901.58132267574</v>
      </c>
    </row>
    <row r="861" spans="1:7" hidden="1">
      <c r="A861" t="str">
        <f t="shared" si="13"/>
        <v>USADO-07NM-Plus-SÉRIE 6</v>
      </c>
      <c r="B861" s="7" t="s">
        <v>39</v>
      </c>
      <c r="C861" s="7" t="s">
        <v>53</v>
      </c>
      <c r="D861" s="7"/>
      <c r="E861" s="7" t="s">
        <v>10</v>
      </c>
      <c r="F861" s="7" t="s">
        <v>61</v>
      </c>
      <c r="G861" s="11">
        <v>28346.297140421972</v>
      </c>
    </row>
    <row r="862" spans="1:7" hidden="1">
      <c r="A862" t="str">
        <f t="shared" si="13"/>
        <v>USADO-07DA-Standard-SÉRIE 6</v>
      </c>
      <c r="B862" s="7" t="s">
        <v>39</v>
      </c>
      <c r="C862" s="7" t="s">
        <v>58</v>
      </c>
      <c r="D862" s="7" t="s">
        <v>256</v>
      </c>
      <c r="E862" s="7" t="s">
        <v>33</v>
      </c>
      <c r="F862" s="7" t="s">
        <v>61</v>
      </c>
      <c r="G862" s="11">
        <v>22037.517593925619</v>
      </c>
    </row>
    <row r="863" spans="1:7" hidden="1">
      <c r="A863" t="str">
        <f t="shared" si="13"/>
        <v>USADO-07DB-Plus-SÉRIE 6</v>
      </c>
      <c r="B863" s="7" t="s">
        <v>39</v>
      </c>
      <c r="C863" s="7" t="s">
        <v>62</v>
      </c>
      <c r="D863" s="7"/>
      <c r="E863" s="7" t="s">
        <v>10</v>
      </c>
      <c r="F863" s="7" t="s">
        <v>61</v>
      </c>
      <c r="G863" s="11">
        <v>39753.953306689349</v>
      </c>
    </row>
    <row r="864" spans="1:7" hidden="1">
      <c r="A864" t="str">
        <f t="shared" si="13"/>
        <v>USADO-07DD-Standard-SÉRIE 6</v>
      </c>
      <c r="B864" s="7" t="s">
        <v>39</v>
      </c>
      <c r="C864" s="7" t="s">
        <v>67</v>
      </c>
      <c r="D864" s="7" t="s">
        <v>257</v>
      </c>
      <c r="E864" s="7" t="s">
        <v>33</v>
      </c>
      <c r="F864" s="7" t="s">
        <v>61</v>
      </c>
      <c r="G864" s="11">
        <v>15988.002960298978</v>
      </c>
    </row>
    <row r="865" spans="1:7" hidden="1">
      <c r="A865" t="str">
        <f t="shared" si="13"/>
        <v>USADO-07DE-Plus-SÉRIE 6</v>
      </c>
      <c r="B865" s="7" t="s">
        <v>39</v>
      </c>
      <c r="C865" s="7" t="s">
        <v>71</v>
      </c>
      <c r="D865" s="7"/>
      <c r="E865" s="7" t="s">
        <v>10</v>
      </c>
      <c r="F865" s="7" t="s">
        <v>61</v>
      </c>
      <c r="G865" s="11">
        <v>28519.140415668448</v>
      </c>
    </row>
    <row r="866" spans="1:7" hidden="1">
      <c r="A866" t="str">
        <f t="shared" si="13"/>
        <v>USADO-07NX-Standard-SÉRIE 6</v>
      </c>
      <c r="B866" s="7" t="s">
        <v>39</v>
      </c>
      <c r="C866" s="7" t="s">
        <v>76</v>
      </c>
      <c r="D866" s="7" t="s">
        <v>258</v>
      </c>
      <c r="E866" s="7" t="s">
        <v>33</v>
      </c>
      <c r="F866" s="7" t="s">
        <v>61</v>
      </c>
      <c r="G866" s="11">
        <v>18321.387176126398</v>
      </c>
    </row>
    <row r="867" spans="1:7" hidden="1">
      <c r="A867" t="str">
        <f t="shared" si="13"/>
        <v>USADO-07NY-Plus-SÉRIE 6</v>
      </c>
      <c r="B867" s="7" t="s">
        <v>39</v>
      </c>
      <c r="C867" s="7" t="s">
        <v>80</v>
      </c>
      <c r="D867" s="7"/>
      <c r="E867" s="7" t="s">
        <v>10</v>
      </c>
      <c r="F867" s="7" t="s">
        <v>61</v>
      </c>
      <c r="G867" s="11">
        <v>33099.487209700048</v>
      </c>
    </row>
    <row r="868" spans="1:7" hidden="1">
      <c r="A868" t="str">
        <f t="shared" si="13"/>
        <v>USADO-07N1-Standard-SÉRIE 6</v>
      </c>
      <c r="B868" s="7" t="s">
        <v>39</v>
      </c>
      <c r="C868" s="7" t="s">
        <v>85</v>
      </c>
      <c r="D868" s="7" t="s">
        <v>259</v>
      </c>
      <c r="E868" s="7" t="s">
        <v>33</v>
      </c>
      <c r="F868" s="7" t="s">
        <v>61</v>
      </c>
      <c r="G868" s="11">
        <v>22123.939231548859</v>
      </c>
    </row>
    <row r="869" spans="1:7" hidden="1">
      <c r="A869" t="str">
        <f t="shared" si="13"/>
        <v>USADO-07N2-Plus-SÉRIE 6</v>
      </c>
      <c r="B869" s="7" t="s">
        <v>39</v>
      </c>
      <c r="C869" s="7" t="s">
        <v>89</v>
      </c>
      <c r="D869" s="7"/>
      <c r="E869" s="7" t="s">
        <v>10</v>
      </c>
      <c r="F869" s="7" t="s">
        <v>61</v>
      </c>
      <c r="G869" s="11">
        <v>40099.639857182301</v>
      </c>
    </row>
    <row r="870" spans="1:7" hidden="1">
      <c r="A870" t="str">
        <f t="shared" si="13"/>
        <v>USADO-07N4-Standard-SÉRIE 6</v>
      </c>
      <c r="B870" s="7" t="s">
        <v>39</v>
      </c>
      <c r="C870" s="7" t="s">
        <v>94</v>
      </c>
      <c r="D870" s="7" t="s">
        <v>260</v>
      </c>
      <c r="E870" s="7" t="s">
        <v>33</v>
      </c>
      <c r="F870" s="7" t="s">
        <v>61</v>
      </c>
      <c r="G870" s="11">
        <v>27136.394213696643</v>
      </c>
    </row>
    <row r="871" spans="1:7" hidden="1">
      <c r="A871" t="str">
        <f t="shared" si="13"/>
        <v>USADO-07N5-Plus-SÉRIE 6</v>
      </c>
      <c r="B871" s="7" t="s">
        <v>39</v>
      </c>
      <c r="C871" s="7" t="s">
        <v>98</v>
      </c>
      <c r="D871" s="7"/>
      <c r="E871" s="7" t="s">
        <v>10</v>
      </c>
      <c r="F871" s="7" t="s">
        <v>61</v>
      </c>
      <c r="G871" s="11">
        <v>47186.214142287798</v>
      </c>
    </row>
    <row r="872" spans="1:7" hidden="1">
      <c r="A872" t="str">
        <f t="shared" si="13"/>
        <v>USADO-07NW-Standard-SÉRIE 6</v>
      </c>
      <c r="B872" s="7" t="s">
        <v>39</v>
      </c>
      <c r="C872" s="7" t="s">
        <v>103</v>
      </c>
      <c r="D872" s="7" t="s">
        <v>261</v>
      </c>
      <c r="E872" s="7" t="s">
        <v>33</v>
      </c>
      <c r="F872" s="7" t="s">
        <v>61</v>
      </c>
      <c r="G872" s="11">
        <v>16852.219336531354</v>
      </c>
    </row>
    <row r="873" spans="1:7" hidden="1">
      <c r="A873" t="str">
        <f t="shared" si="13"/>
        <v>USADO-07NK-Plus-SÉRIE 6</v>
      </c>
      <c r="B873" s="7" t="s">
        <v>39</v>
      </c>
      <c r="C873" s="7" t="s">
        <v>107</v>
      </c>
      <c r="D873" s="7"/>
      <c r="E873" s="7" t="s">
        <v>10</v>
      </c>
      <c r="F873" s="7" t="s">
        <v>61</v>
      </c>
      <c r="G873" s="11">
        <v>29124.091879031112</v>
      </c>
    </row>
    <row r="874" spans="1:7" hidden="1">
      <c r="A874" t="str">
        <f t="shared" si="13"/>
        <v>USADO-07N7-Standard-SÉRIE 6</v>
      </c>
      <c r="B874" s="7" t="s">
        <v>39</v>
      </c>
      <c r="C874" s="7" t="s">
        <v>112</v>
      </c>
      <c r="D874" s="7" t="s">
        <v>262</v>
      </c>
      <c r="E874" s="7" t="s">
        <v>33</v>
      </c>
      <c r="F874" s="7" t="s">
        <v>61</v>
      </c>
      <c r="G874" s="11">
        <v>19185.603552358774</v>
      </c>
    </row>
    <row r="875" spans="1:7" hidden="1">
      <c r="A875" t="str">
        <f t="shared" si="13"/>
        <v>USADO-07N8-Plus-SÉRIE 6</v>
      </c>
      <c r="B875" s="7" t="s">
        <v>39</v>
      </c>
      <c r="C875" s="7" t="s">
        <v>116</v>
      </c>
      <c r="D875" s="7"/>
      <c r="E875" s="7" t="s">
        <v>10</v>
      </c>
      <c r="F875" s="7" t="s">
        <v>61</v>
      </c>
      <c r="G875" s="11">
        <v>33963.703585932424</v>
      </c>
    </row>
    <row r="876" spans="1:7" hidden="1">
      <c r="A876" t="str">
        <f t="shared" si="13"/>
        <v>USADO-07NH-Standard-SÉRIE 6</v>
      </c>
      <c r="B876" s="7" t="s">
        <v>39</v>
      </c>
      <c r="C876" s="7" t="s">
        <v>121</v>
      </c>
      <c r="D876" s="7" t="s">
        <v>263</v>
      </c>
      <c r="E876" s="7" t="s">
        <v>33</v>
      </c>
      <c r="F876" s="7" t="s">
        <v>61</v>
      </c>
      <c r="G876" s="11">
        <v>22210.360869172095</v>
      </c>
    </row>
    <row r="877" spans="1:7" hidden="1">
      <c r="A877" t="str">
        <f t="shared" si="13"/>
        <v>USADO-07NA-Plus-SÉRIE 6</v>
      </c>
      <c r="B877" s="7" t="s">
        <v>39</v>
      </c>
      <c r="C877" s="7" t="s">
        <v>125</v>
      </c>
      <c r="D877" s="7"/>
      <c r="E877" s="7" t="s">
        <v>10</v>
      </c>
      <c r="F877" s="7" t="s">
        <v>61</v>
      </c>
      <c r="G877" s="11">
        <v>40531.748045298489</v>
      </c>
    </row>
    <row r="878" spans="1:7" hidden="1">
      <c r="A878" t="str">
        <f t="shared" si="13"/>
        <v>USADO-07UA-Standard-SÉRIE 6</v>
      </c>
      <c r="B878" s="7" t="s">
        <v>39</v>
      </c>
      <c r="C878" s="7" t="s">
        <v>130</v>
      </c>
      <c r="D878" s="7" t="s">
        <v>264</v>
      </c>
      <c r="E878" s="7" t="s">
        <v>33</v>
      </c>
      <c r="F878" s="7" t="s">
        <v>61</v>
      </c>
      <c r="G878" s="11">
        <v>28259.875502798735</v>
      </c>
    </row>
    <row r="879" spans="1:7" hidden="1">
      <c r="A879" t="str">
        <f t="shared" si="13"/>
        <v>USADO-07UB-Plus-SÉRIE 6</v>
      </c>
      <c r="B879" s="7" t="s">
        <v>39</v>
      </c>
      <c r="C879" s="7" t="s">
        <v>133</v>
      </c>
      <c r="D879" s="7"/>
      <c r="E879" s="7" t="s">
        <v>10</v>
      </c>
      <c r="F879" s="7" t="s">
        <v>61</v>
      </c>
      <c r="G879" s="11">
        <v>48482.538706636362</v>
      </c>
    </row>
    <row r="880" spans="1:7" hidden="1">
      <c r="A880" t="str">
        <f t="shared" si="13"/>
        <v>USADO-07US-Standard-M5</v>
      </c>
      <c r="B880" s="7" t="s">
        <v>39</v>
      </c>
      <c r="C880" s="7" t="s">
        <v>34</v>
      </c>
      <c r="D880" s="7" t="s">
        <v>254</v>
      </c>
      <c r="E880" s="7" t="s">
        <v>33</v>
      </c>
      <c r="F880" s="7" t="s">
        <v>110</v>
      </c>
      <c r="G880" s="11">
        <v>22901.733970157995</v>
      </c>
    </row>
    <row r="881" spans="1:7" hidden="1">
      <c r="A881" t="str">
        <f t="shared" si="13"/>
        <v>USADO-07D7-Plus-M5</v>
      </c>
      <c r="B881" s="7" t="s">
        <v>39</v>
      </c>
      <c r="C881" s="7" t="s">
        <v>42</v>
      </c>
      <c r="D881" s="7"/>
      <c r="E881" s="7" t="s">
        <v>10</v>
      </c>
      <c r="F881" s="7" t="s">
        <v>110</v>
      </c>
      <c r="G881" s="11">
        <v>29556.2000671473</v>
      </c>
    </row>
    <row r="882" spans="1:7" hidden="1">
      <c r="A882" t="str">
        <f t="shared" si="13"/>
        <v>USADO-07NG-Standard-M5</v>
      </c>
      <c r="B882" s="7" t="s">
        <v>39</v>
      </c>
      <c r="C882" s="7" t="s">
        <v>49</v>
      </c>
      <c r="D882" s="7" t="s">
        <v>255</v>
      </c>
      <c r="E882" s="7" t="s">
        <v>33</v>
      </c>
      <c r="F882" s="7" t="s">
        <v>110</v>
      </c>
      <c r="G882" s="11">
        <v>27827.767314682547</v>
      </c>
    </row>
    <row r="883" spans="1:7" hidden="1">
      <c r="A883" t="str">
        <f t="shared" si="13"/>
        <v>USADO-07NM-Plus-M5</v>
      </c>
      <c r="B883" s="7" t="s">
        <v>39</v>
      </c>
      <c r="C883" s="7" t="s">
        <v>53</v>
      </c>
      <c r="D883" s="7"/>
      <c r="E883" s="7" t="s">
        <v>10</v>
      </c>
      <c r="F883" s="7" t="s">
        <v>110</v>
      </c>
      <c r="G883" s="11">
        <v>53840.680239277099</v>
      </c>
    </row>
    <row r="884" spans="1:7" hidden="1">
      <c r="A884" t="str">
        <f t="shared" si="13"/>
        <v>USADO-07DA-Standard-M5</v>
      </c>
      <c r="B884" s="7" t="s">
        <v>39</v>
      </c>
      <c r="C884" s="7" t="s">
        <v>58</v>
      </c>
      <c r="D884" s="7" t="s">
        <v>256</v>
      </c>
      <c r="E884" s="7" t="s">
        <v>33</v>
      </c>
      <c r="F884" s="7" t="s">
        <v>110</v>
      </c>
      <c r="G884" s="11">
        <v>38371.207104717549</v>
      </c>
    </row>
    <row r="885" spans="1:7" hidden="1">
      <c r="A885" t="str">
        <f t="shared" si="13"/>
        <v>USADO-07DB-Plus-M5</v>
      </c>
      <c r="B885" s="7" t="s">
        <v>39</v>
      </c>
      <c r="C885" s="7" t="s">
        <v>62</v>
      </c>
      <c r="D885" s="7"/>
      <c r="E885" s="7" t="s">
        <v>10</v>
      </c>
      <c r="F885" s="7" t="s">
        <v>110</v>
      </c>
      <c r="G885" s="11">
        <v>70606.477938185213</v>
      </c>
    </row>
    <row r="886" spans="1:7" hidden="1">
      <c r="A886" t="str">
        <f t="shared" si="13"/>
        <v>USADO-07DD-Standard-M5</v>
      </c>
      <c r="B886" s="7" t="s">
        <v>39</v>
      </c>
      <c r="C886" s="7" t="s">
        <v>67</v>
      </c>
      <c r="D886" s="7" t="s">
        <v>257</v>
      </c>
      <c r="E886" s="7" t="s">
        <v>33</v>
      </c>
      <c r="F886" s="7" t="s">
        <v>110</v>
      </c>
      <c r="G886" s="11">
        <v>27914.188952305783</v>
      </c>
    </row>
    <row r="887" spans="1:7" hidden="1">
      <c r="A887" t="str">
        <f t="shared" si="13"/>
        <v>USADO-07DE-Plus-M5</v>
      </c>
      <c r="B887" s="7" t="s">
        <v>39</v>
      </c>
      <c r="C887" s="7" t="s">
        <v>71</v>
      </c>
      <c r="D887" s="7"/>
      <c r="E887" s="7" t="s">
        <v>10</v>
      </c>
      <c r="F887" s="7" t="s">
        <v>110</v>
      </c>
      <c r="G887" s="11">
        <v>53927.101876900335</v>
      </c>
    </row>
    <row r="888" spans="1:7" hidden="1">
      <c r="A888" t="str">
        <f t="shared" si="13"/>
        <v>USADO-07NX-Standard-M5</v>
      </c>
      <c r="B888" s="7" t="s">
        <v>39</v>
      </c>
      <c r="C888" s="7" t="s">
        <v>76</v>
      </c>
      <c r="D888" s="7" t="s">
        <v>258</v>
      </c>
      <c r="E888" s="7" t="s">
        <v>33</v>
      </c>
      <c r="F888" s="7" t="s">
        <v>110</v>
      </c>
      <c r="G888" s="11">
        <v>32148.849195844432</v>
      </c>
    </row>
    <row r="889" spans="1:7" hidden="1">
      <c r="A889" t="str">
        <f t="shared" si="13"/>
        <v>USADO-07NY-Plus-M5</v>
      </c>
      <c r="B889" s="7" t="s">
        <v>39</v>
      </c>
      <c r="C889" s="7" t="s">
        <v>80</v>
      </c>
      <c r="D889" s="7"/>
      <c r="E889" s="7" t="s">
        <v>10</v>
      </c>
      <c r="F889" s="7" t="s">
        <v>110</v>
      </c>
      <c r="G889" s="11">
        <v>62482.844001600875</v>
      </c>
    </row>
    <row r="890" spans="1:7" hidden="1">
      <c r="A890" t="str">
        <f t="shared" si="13"/>
        <v>USADO-07N1-Standard-M5</v>
      </c>
      <c r="B890" s="7" t="s">
        <v>39</v>
      </c>
      <c r="C890" s="7" t="s">
        <v>85</v>
      </c>
      <c r="D890" s="7" t="s">
        <v>259</v>
      </c>
      <c r="E890" s="7" t="s">
        <v>33</v>
      </c>
      <c r="F890" s="7" t="s">
        <v>110</v>
      </c>
      <c r="G890" s="11">
        <v>38630.472017587264</v>
      </c>
    </row>
    <row r="891" spans="1:7" hidden="1">
      <c r="A891" t="str">
        <f t="shared" si="13"/>
        <v>USADO-07N2-Plus-M5</v>
      </c>
      <c r="B891" s="7" t="s">
        <v>39</v>
      </c>
      <c r="C891" s="7" t="s">
        <v>89</v>
      </c>
      <c r="D891" s="7"/>
      <c r="E891" s="7" t="s">
        <v>10</v>
      </c>
      <c r="F891" s="7" t="s">
        <v>110</v>
      </c>
      <c r="G891" s="11">
        <v>71729.959227287312</v>
      </c>
    </row>
    <row r="892" spans="1:7" hidden="1">
      <c r="A892" t="str">
        <f t="shared" si="13"/>
        <v>USADO-07N4-Standard-M5</v>
      </c>
      <c r="B892" s="7" t="s">
        <v>39</v>
      </c>
      <c r="C892" s="7" t="s">
        <v>94</v>
      </c>
      <c r="D892" s="7" t="s">
        <v>260</v>
      </c>
      <c r="E892" s="7" t="s">
        <v>33</v>
      </c>
      <c r="F892" s="7" t="s">
        <v>110</v>
      </c>
      <c r="G892" s="11">
        <v>44247.878463097717</v>
      </c>
    </row>
    <row r="893" spans="1:7" hidden="1">
      <c r="A893" t="str">
        <f t="shared" si="13"/>
        <v>USADO-07N5-Plus-M5</v>
      </c>
      <c r="B893" s="7" t="s">
        <v>39</v>
      </c>
      <c r="C893" s="7" t="s">
        <v>98</v>
      </c>
      <c r="D893" s="7"/>
      <c r="E893" s="7" t="s">
        <v>10</v>
      </c>
      <c r="F893" s="7" t="s">
        <v>110</v>
      </c>
      <c r="G893" s="11">
        <v>99989.834730086048</v>
      </c>
    </row>
    <row r="894" spans="1:7" hidden="1">
      <c r="A894" t="str">
        <f t="shared" si="13"/>
        <v>USADO-07NW-Standard-M5</v>
      </c>
      <c r="B894" s="7" t="s">
        <v>39</v>
      </c>
      <c r="C894" s="7" t="s">
        <v>103</v>
      </c>
      <c r="D894" s="7" t="s">
        <v>261</v>
      </c>
      <c r="E894" s="7" t="s">
        <v>33</v>
      </c>
      <c r="F894" s="7" t="s">
        <v>110</v>
      </c>
      <c r="G894" s="11">
        <v>28951.248603784636</v>
      </c>
    </row>
    <row r="895" spans="1:7" hidden="1">
      <c r="A895" t="str">
        <f t="shared" si="13"/>
        <v>USADO-07NK-Plus-M5</v>
      </c>
      <c r="B895" s="7" t="s">
        <v>39</v>
      </c>
      <c r="C895" s="7" t="s">
        <v>107</v>
      </c>
      <c r="D895" s="7"/>
      <c r="E895" s="7" t="s">
        <v>10</v>
      </c>
      <c r="F895" s="7" t="s">
        <v>110</v>
      </c>
      <c r="G895" s="11">
        <v>54704.896615509475</v>
      </c>
    </row>
    <row r="896" spans="1:7" hidden="1">
      <c r="A896" t="str">
        <f t="shared" si="13"/>
        <v>USADO-07N7-Standard-M5</v>
      </c>
      <c r="B896" s="7" t="s">
        <v>39</v>
      </c>
      <c r="C896" s="7" t="s">
        <v>112</v>
      </c>
      <c r="D896" s="7" t="s">
        <v>262</v>
      </c>
      <c r="E896" s="7" t="s">
        <v>33</v>
      </c>
      <c r="F896" s="7" t="s">
        <v>110</v>
      </c>
      <c r="G896" s="11">
        <v>32753.800659207096</v>
      </c>
    </row>
    <row r="897" spans="1:7" hidden="1">
      <c r="A897" t="str">
        <f t="shared" si="13"/>
        <v>USADO-07N8-Plus-M5</v>
      </c>
      <c r="B897" s="7" t="s">
        <v>39</v>
      </c>
      <c r="C897" s="7" t="s">
        <v>116</v>
      </c>
      <c r="D897" s="7"/>
      <c r="E897" s="7" t="s">
        <v>10</v>
      </c>
      <c r="F897" s="7" t="s">
        <v>110</v>
      </c>
      <c r="G897" s="11">
        <v>63260.638740210015</v>
      </c>
    </row>
    <row r="898" spans="1:7" hidden="1">
      <c r="A898" t="str">
        <f t="shared" si="13"/>
        <v>USADO-07NH-Standard-M5</v>
      </c>
      <c r="B898" s="7" t="s">
        <v>39</v>
      </c>
      <c r="C898" s="7" t="s">
        <v>121</v>
      </c>
      <c r="D898" s="7" t="s">
        <v>263</v>
      </c>
      <c r="E898" s="7" t="s">
        <v>33</v>
      </c>
      <c r="F898" s="7" t="s">
        <v>110</v>
      </c>
      <c r="G898" s="11">
        <v>38716.893655210501</v>
      </c>
    </row>
    <row r="899" spans="1:7" hidden="1">
      <c r="A899" t="str">
        <f t="shared" si="13"/>
        <v>USADO-07NA-Plus-M5</v>
      </c>
      <c r="B899" s="7" t="s">
        <v>39</v>
      </c>
      <c r="C899" s="7" t="s">
        <v>125</v>
      </c>
      <c r="D899" s="7"/>
      <c r="E899" s="7" t="s">
        <v>10</v>
      </c>
      <c r="F899" s="7" t="s">
        <v>110</v>
      </c>
      <c r="G899" s="11">
        <v>72680.597241142925</v>
      </c>
    </row>
    <row r="900" spans="1:7" hidden="1">
      <c r="A900" t="str">
        <f t="shared" si="13"/>
        <v>USADO-07UA-Standard-M5</v>
      </c>
      <c r="B900" s="7" t="s">
        <v>39</v>
      </c>
      <c r="C900" s="7" t="s">
        <v>130</v>
      </c>
      <c r="D900" s="7" t="s">
        <v>264</v>
      </c>
      <c r="E900" s="7" t="s">
        <v>33</v>
      </c>
      <c r="F900" s="7" t="s">
        <v>110</v>
      </c>
      <c r="G900" s="11">
        <v>46926.949229418082</v>
      </c>
    </row>
    <row r="901" spans="1:7" hidden="1">
      <c r="A901" t="str">
        <f t="shared" si="13"/>
        <v>USADO-07UB-Plus-M5</v>
      </c>
      <c r="B901" s="7" t="s">
        <v>39</v>
      </c>
      <c r="C901" s="7" t="s">
        <v>133</v>
      </c>
      <c r="D901" s="7"/>
      <c r="E901" s="7" t="s">
        <v>10</v>
      </c>
      <c r="F901" s="7" t="s">
        <v>110</v>
      </c>
      <c r="G901" s="11">
        <v>104224.49497362469</v>
      </c>
    </row>
    <row r="902" spans="1:7" hidden="1">
      <c r="A902" t="str">
        <f t="shared" si="13"/>
        <v>USADO-07US-Standard-M6</v>
      </c>
      <c r="B902" s="7" t="s">
        <v>39</v>
      </c>
      <c r="C902" s="7" t="s">
        <v>34</v>
      </c>
      <c r="D902" s="7" t="s">
        <v>254</v>
      </c>
      <c r="E902" s="7" t="s">
        <v>33</v>
      </c>
      <c r="F902" s="7" t="s">
        <v>115</v>
      </c>
      <c r="G902" s="11">
        <v>22901.733970157995</v>
      </c>
    </row>
    <row r="903" spans="1:7" hidden="1">
      <c r="A903" t="str">
        <f t="shared" si="13"/>
        <v>USADO-07D7-Plus-M6</v>
      </c>
      <c r="B903" s="7" t="s">
        <v>39</v>
      </c>
      <c r="C903" s="7" t="s">
        <v>42</v>
      </c>
      <c r="D903" s="7"/>
      <c r="E903" s="7" t="s">
        <v>10</v>
      </c>
      <c r="F903" s="7" t="s">
        <v>115</v>
      </c>
      <c r="G903" s="11">
        <v>29556.2000671473</v>
      </c>
    </row>
    <row r="904" spans="1:7" hidden="1">
      <c r="A904" t="str">
        <f t="shared" si="13"/>
        <v>USADO-07NG-Standard-M6</v>
      </c>
      <c r="B904" s="7" t="s">
        <v>39</v>
      </c>
      <c r="C904" s="7" t="s">
        <v>49</v>
      </c>
      <c r="D904" s="7" t="s">
        <v>255</v>
      </c>
      <c r="E904" s="7" t="s">
        <v>33</v>
      </c>
      <c r="F904" s="7" t="s">
        <v>115</v>
      </c>
      <c r="G904" s="11">
        <v>27827.767314682547</v>
      </c>
    </row>
    <row r="905" spans="1:7" hidden="1">
      <c r="A905" t="str">
        <f t="shared" si="13"/>
        <v>USADO-07NM-Plus-M6</v>
      </c>
      <c r="B905" s="7" t="s">
        <v>39</v>
      </c>
      <c r="C905" s="7" t="s">
        <v>53</v>
      </c>
      <c r="D905" s="7"/>
      <c r="E905" s="7" t="s">
        <v>10</v>
      </c>
      <c r="F905" s="7" t="s">
        <v>115</v>
      </c>
      <c r="G905" s="11">
        <v>53840.680239277099</v>
      </c>
    </row>
    <row r="906" spans="1:7" hidden="1">
      <c r="A906" t="str">
        <f t="shared" si="13"/>
        <v>USADO-07DA-Standard-M6</v>
      </c>
      <c r="B906" s="7" t="s">
        <v>39</v>
      </c>
      <c r="C906" s="7" t="s">
        <v>58</v>
      </c>
      <c r="D906" s="7" t="s">
        <v>256</v>
      </c>
      <c r="E906" s="7" t="s">
        <v>33</v>
      </c>
      <c r="F906" s="7" t="s">
        <v>115</v>
      </c>
      <c r="G906" s="11">
        <v>38371.207104717549</v>
      </c>
    </row>
    <row r="907" spans="1:7" hidden="1">
      <c r="A907" t="str">
        <f t="shared" si="13"/>
        <v>USADO-07DB-Plus-M6</v>
      </c>
      <c r="B907" s="7" t="s">
        <v>39</v>
      </c>
      <c r="C907" s="7" t="s">
        <v>62</v>
      </c>
      <c r="D907" s="7"/>
      <c r="E907" s="7" t="s">
        <v>10</v>
      </c>
      <c r="F907" s="7" t="s">
        <v>115</v>
      </c>
      <c r="G907" s="11">
        <v>70606.477938185213</v>
      </c>
    </row>
    <row r="908" spans="1:7" hidden="1">
      <c r="A908" t="str">
        <f t="shared" si="13"/>
        <v>USADO-07DD-Standard-M6</v>
      </c>
      <c r="B908" s="7" t="s">
        <v>39</v>
      </c>
      <c r="C908" s="7" t="s">
        <v>67</v>
      </c>
      <c r="D908" s="7" t="s">
        <v>257</v>
      </c>
      <c r="E908" s="7" t="s">
        <v>33</v>
      </c>
      <c r="F908" s="7" t="s">
        <v>115</v>
      </c>
      <c r="G908" s="11">
        <v>27914.188952305783</v>
      </c>
    </row>
    <row r="909" spans="1:7" hidden="1">
      <c r="A909" t="str">
        <f t="shared" si="13"/>
        <v>USADO-07DE-Plus-M6</v>
      </c>
      <c r="B909" s="7" t="s">
        <v>39</v>
      </c>
      <c r="C909" s="7" t="s">
        <v>71</v>
      </c>
      <c r="D909" s="7"/>
      <c r="E909" s="7" t="s">
        <v>10</v>
      </c>
      <c r="F909" s="7" t="s">
        <v>115</v>
      </c>
      <c r="G909" s="11">
        <v>53927.101876900335</v>
      </c>
    </row>
    <row r="910" spans="1:7" hidden="1">
      <c r="A910" t="str">
        <f t="shared" ref="A910:A973" si="14">B910&amp;"-"&amp;C910&amp;"-"&amp;E910&amp;"-"&amp;F910</f>
        <v>USADO-07NX-Standard-M6</v>
      </c>
      <c r="B910" s="7" t="s">
        <v>39</v>
      </c>
      <c r="C910" s="7" t="s">
        <v>76</v>
      </c>
      <c r="D910" s="7" t="s">
        <v>258</v>
      </c>
      <c r="E910" s="7" t="s">
        <v>33</v>
      </c>
      <c r="F910" s="7" t="s">
        <v>115</v>
      </c>
      <c r="G910" s="11">
        <v>32148.849195844432</v>
      </c>
    </row>
    <row r="911" spans="1:7" hidden="1">
      <c r="A911" t="str">
        <f t="shared" si="14"/>
        <v>USADO-07NY-Plus-M6</v>
      </c>
      <c r="B911" s="7" t="s">
        <v>39</v>
      </c>
      <c r="C911" s="7" t="s">
        <v>80</v>
      </c>
      <c r="D911" s="7"/>
      <c r="E911" s="7" t="s">
        <v>10</v>
      </c>
      <c r="F911" s="7" t="s">
        <v>115</v>
      </c>
      <c r="G911" s="11">
        <v>62482.844001600875</v>
      </c>
    </row>
    <row r="912" spans="1:7" hidden="1">
      <c r="A912" t="str">
        <f t="shared" si="14"/>
        <v>USADO-07N1-Standard-M6</v>
      </c>
      <c r="B912" s="7" t="s">
        <v>39</v>
      </c>
      <c r="C912" s="7" t="s">
        <v>85</v>
      </c>
      <c r="D912" s="7" t="s">
        <v>259</v>
      </c>
      <c r="E912" s="7" t="s">
        <v>33</v>
      </c>
      <c r="F912" s="7" t="s">
        <v>115</v>
      </c>
      <c r="G912" s="11">
        <v>38630.472017587264</v>
      </c>
    </row>
    <row r="913" spans="1:7" hidden="1">
      <c r="A913" t="str">
        <f t="shared" si="14"/>
        <v>USADO-07N2-Plus-M6</v>
      </c>
      <c r="B913" s="7" t="s">
        <v>39</v>
      </c>
      <c r="C913" s="7" t="s">
        <v>89</v>
      </c>
      <c r="D913" s="7"/>
      <c r="E913" s="7" t="s">
        <v>10</v>
      </c>
      <c r="F913" s="7" t="s">
        <v>115</v>
      </c>
      <c r="G913" s="11">
        <v>71729.959227287312</v>
      </c>
    </row>
    <row r="914" spans="1:7" hidden="1">
      <c r="A914" t="str">
        <f t="shared" si="14"/>
        <v>USADO-07N4-Standard-M6</v>
      </c>
      <c r="B914" s="7" t="s">
        <v>39</v>
      </c>
      <c r="C914" s="7" t="s">
        <v>94</v>
      </c>
      <c r="D914" s="7" t="s">
        <v>260</v>
      </c>
      <c r="E914" s="7" t="s">
        <v>33</v>
      </c>
      <c r="F914" s="7" t="s">
        <v>115</v>
      </c>
      <c r="G914" s="11">
        <v>44247.878463097717</v>
      </c>
    </row>
    <row r="915" spans="1:7" hidden="1">
      <c r="A915" t="str">
        <f t="shared" si="14"/>
        <v>USADO-07N5-Plus-M6</v>
      </c>
      <c r="B915" s="7" t="s">
        <v>39</v>
      </c>
      <c r="C915" s="7" t="s">
        <v>98</v>
      </c>
      <c r="D915" s="7"/>
      <c r="E915" s="7" t="s">
        <v>10</v>
      </c>
      <c r="F915" s="7" t="s">
        <v>115</v>
      </c>
      <c r="G915" s="11">
        <v>99989.834730086048</v>
      </c>
    </row>
    <row r="916" spans="1:7" hidden="1">
      <c r="A916" t="str">
        <f t="shared" si="14"/>
        <v>USADO-07NW-Standard-M6</v>
      </c>
      <c r="B916" s="7" t="s">
        <v>39</v>
      </c>
      <c r="C916" s="7" t="s">
        <v>103</v>
      </c>
      <c r="D916" s="7" t="s">
        <v>261</v>
      </c>
      <c r="E916" s="7" t="s">
        <v>33</v>
      </c>
      <c r="F916" s="7" t="s">
        <v>115</v>
      </c>
      <c r="G916" s="11">
        <v>28951.248603784636</v>
      </c>
    </row>
    <row r="917" spans="1:7" hidden="1">
      <c r="A917" t="str">
        <f t="shared" si="14"/>
        <v>USADO-07NK-Plus-M6</v>
      </c>
      <c r="B917" s="7" t="s">
        <v>39</v>
      </c>
      <c r="C917" s="7" t="s">
        <v>107</v>
      </c>
      <c r="D917" s="7"/>
      <c r="E917" s="7" t="s">
        <v>10</v>
      </c>
      <c r="F917" s="7" t="s">
        <v>115</v>
      </c>
      <c r="G917" s="11">
        <v>54704.896615509475</v>
      </c>
    </row>
    <row r="918" spans="1:7" hidden="1">
      <c r="A918" t="str">
        <f t="shared" si="14"/>
        <v>USADO-07N7-Standard-M6</v>
      </c>
      <c r="B918" s="7" t="s">
        <v>39</v>
      </c>
      <c r="C918" s="7" t="s">
        <v>112</v>
      </c>
      <c r="D918" s="7" t="s">
        <v>262</v>
      </c>
      <c r="E918" s="7" t="s">
        <v>33</v>
      </c>
      <c r="F918" s="7" t="s">
        <v>115</v>
      </c>
      <c r="G918" s="11">
        <v>32753.800659207096</v>
      </c>
    </row>
    <row r="919" spans="1:7" hidden="1">
      <c r="A919" t="str">
        <f t="shared" si="14"/>
        <v>USADO-07N8-Plus-M6</v>
      </c>
      <c r="B919" s="7" t="s">
        <v>39</v>
      </c>
      <c r="C919" s="7" t="s">
        <v>116</v>
      </c>
      <c r="D919" s="7"/>
      <c r="E919" s="7" t="s">
        <v>10</v>
      </c>
      <c r="F919" s="7" t="s">
        <v>115</v>
      </c>
      <c r="G919" s="11">
        <v>63260.638740210015</v>
      </c>
    </row>
    <row r="920" spans="1:7" hidden="1">
      <c r="A920" t="str">
        <f t="shared" si="14"/>
        <v>USADO-07NH-Standard-M6</v>
      </c>
      <c r="B920" s="7" t="s">
        <v>39</v>
      </c>
      <c r="C920" s="7" t="s">
        <v>121</v>
      </c>
      <c r="D920" s="7" t="s">
        <v>263</v>
      </c>
      <c r="E920" s="7" t="s">
        <v>33</v>
      </c>
      <c r="F920" s="7" t="s">
        <v>115</v>
      </c>
      <c r="G920" s="11">
        <v>38716.893655210501</v>
      </c>
    </row>
    <row r="921" spans="1:7" hidden="1">
      <c r="A921" t="str">
        <f t="shared" si="14"/>
        <v>USADO-07NA-Plus-M6</v>
      </c>
      <c r="B921" s="7" t="s">
        <v>39</v>
      </c>
      <c r="C921" s="7" t="s">
        <v>125</v>
      </c>
      <c r="D921" s="7"/>
      <c r="E921" s="7" t="s">
        <v>10</v>
      </c>
      <c r="F921" s="7" t="s">
        <v>115</v>
      </c>
      <c r="G921" s="11">
        <v>72680.597241142925</v>
      </c>
    </row>
    <row r="922" spans="1:7" hidden="1">
      <c r="A922" t="str">
        <f t="shared" si="14"/>
        <v>USADO-07UA-Standard-M6</v>
      </c>
      <c r="B922" s="7" t="s">
        <v>39</v>
      </c>
      <c r="C922" s="7" t="s">
        <v>130</v>
      </c>
      <c r="D922" s="7" t="s">
        <v>264</v>
      </c>
      <c r="E922" s="7" t="s">
        <v>33</v>
      </c>
      <c r="F922" s="7" t="s">
        <v>115</v>
      </c>
      <c r="G922" s="11">
        <v>46926.949229418082</v>
      </c>
    </row>
    <row r="923" spans="1:7" hidden="1">
      <c r="A923" t="str">
        <f t="shared" si="14"/>
        <v>USADO-07UB-Plus-M6</v>
      </c>
      <c r="B923" s="7" t="s">
        <v>39</v>
      </c>
      <c r="C923" s="7" t="s">
        <v>133</v>
      </c>
      <c r="D923" s="7"/>
      <c r="E923" s="7" t="s">
        <v>10</v>
      </c>
      <c r="F923" s="7" t="s">
        <v>115</v>
      </c>
      <c r="G923" s="11">
        <v>104224.49497362469</v>
      </c>
    </row>
    <row r="924" spans="1:7" hidden="1">
      <c r="A924" t="str">
        <f t="shared" si="14"/>
        <v>USADO-07US-Standard-SÉRIE 7</v>
      </c>
      <c r="B924" s="7" t="s">
        <v>39</v>
      </c>
      <c r="C924" s="7" t="s">
        <v>34</v>
      </c>
      <c r="D924" s="7" t="s">
        <v>254</v>
      </c>
      <c r="E924" s="7" t="s">
        <v>33</v>
      </c>
      <c r="F924" s="7" t="s">
        <v>65</v>
      </c>
      <c r="G924" s="11">
        <v>13049.667281108896</v>
      </c>
    </row>
    <row r="925" spans="1:7" hidden="1">
      <c r="A925" t="str">
        <f t="shared" si="14"/>
        <v>USADO-07D7-Plus-SÉRIE 7</v>
      </c>
      <c r="B925" s="7" t="s">
        <v>39</v>
      </c>
      <c r="C925" s="7" t="s">
        <v>42</v>
      </c>
      <c r="D925" s="7"/>
      <c r="E925" s="7" t="s">
        <v>10</v>
      </c>
      <c r="F925" s="7" t="s">
        <v>65</v>
      </c>
      <c r="G925" s="11">
        <v>18494.230451372874</v>
      </c>
    </row>
    <row r="926" spans="1:7" hidden="1">
      <c r="A926" t="str">
        <f t="shared" si="14"/>
        <v>USADO-07NG-Standard-SÉRIE 7</v>
      </c>
      <c r="B926" s="7" t="s">
        <v>39</v>
      </c>
      <c r="C926" s="7" t="s">
        <v>49</v>
      </c>
      <c r="D926" s="7" t="s">
        <v>255</v>
      </c>
      <c r="E926" s="7" t="s">
        <v>33</v>
      </c>
      <c r="F926" s="7" t="s">
        <v>65</v>
      </c>
      <c r="G926" s="11">
        <v>18753.495364242586</v>
      </c>
    </row>
    <row r="927" spans="1:7" hidden="1">
      <c r="A927" t="str">
        <f t="shared" si="14"/>
        <v>USADO-07NM-Plus-SÉRIE 7</v>
      </c>
      <c r="B927" s="7" t="s">
        <v>39</v>
      </c>
      <c r="C927" s="7" t="s">
        <v>53</v>
      </c>
      <c r="D927" s="7"/>
      <c r="E927" s="7" t="s">
        <v>10</v>
      </c>
      <c r="F927" s="7" t="s">
        <v>65</v>
      </c>
      <c r="G927" s="11">
        <v>33877.281948309188</v>
      </c>
    </row>
    <row r="928" spans="1:7" hidden="1">
      <c r="A928" t="str">
        <f t="shared" si="14"/>
        <v>USADO-07DA-Standard-SÉRIE 7</v>
      </c>
      <c r="B928" s="7" t="s">
        <v>39</v>
      </c>
      <c r="C928" s="7" t="s">
        <v>58</v>
      </c>
      <c r="D928" s="7" t="s">
        <v>256</v>
      </c>
      <c r="E928" s="7" t="s">
        <v>33</v>
      </c>
      <c r="F928" s="7" t="s">
        <v>65</v>
      </c>
      <c r="G928" s="11">
        <v>25753.648011724839</v>
      </c>
    </row>
    <row r="929" spans="1:7" hidden="1">
      <c r="A929" t="str">
        <f t="shared" si="14"/>
        <v>USADO-07DB-Plus-SÉRIE 7</v>
      </c>
      <c r="B929" s="7" t="s">
        <v>39</v>
      </c>
      <c r="C929" s="7" t="s">
        <v>62</v>
      </c>
      <c r="D929" s="7"/>
      <c r="E929" s="7" t="s">
        <v>10</v>
      </c>
      <c r="F929" s="7" t="s">
        <v>65</v>
      </c>
      <c r="G929" s="11">
        <v>47445.479055157506</v>
      </c>
    </row>
    <row r="930" spans="1:7" hidden="1">
      <c r="A930" t="str">
        <f t="shared" si="14"/>
        <v>USADO-07DD-Standard-SÉRIE 7</v>
      </c>
      <c r="B930" s="7" t="s">
        <v>39</v>
      </c>
      <c r="C930" s="7" t="s">
        <v>67</v>
      </c>
      <c r="D930" s="7" t="s">
        <v>257</v>
      </c>
      <c r="E930" s="7" t="s">
        <v>33</v>
      </c>
      <c r="F930" s="7" t="s">
        <v>65</v>
      </c>
      <c r="G930" s="11">
        <v>18753.495364242586</v>
      </c>
    </row>
    <row r="931" spans="1:7" hidden="1">
      <c r="A931" t="str">
        <f t="shared" si="14"/>
        <v>USADO-07DE-Plus-SÉRIE 7</v>
      </c>
      <c r="B931" s="7" t="s">
        <v>39</v>
      </c>
      <c r="C931" s="7" t="s">
        <v>71</v>
      </c>
      <c r="D931" s="7"/>
      <c r="E931" s="7" t="s">
        <v>10</v>
      </c>
      <c r="F931" s="7" t="s">
        <v>65</v>
      </c>
      <c r="G931" s="11">
        <v>34050.12522355566</v>
      </c>
    </row>
    <row r="932" spans="1:7" hidden="1">
      <c r="A932" t="str">
        <f t="shared" si="14"/>
        <v>USADO-07NX-Standard-SÉRIE 7</v>
      </c>
      <c r="B932" s="7" t="s">
        <v>39</v>
      </c>
      <c r="C932" s="7" t="s">
        <v>76</v>
      </c>
      <c r="D932" s="7" t="s">
        <v>258</v>
      </c>
      <c r="E932" s="7" t="s">
        <v>33</v>
      </c>
      <c r="F932" s="7" t="s">
        <v>65</v>
      </c>
      <c r="G932" s="11">
        <v>21691.831043432667</v>
      </c>
    </row>
    <row r="933" spans="1:7" hidden="1">
      <c r="A933" t="str">
        <f t="shared" si="14"/>
        <v>USADO-07NY-Plus-SÉRIE 7</v>
      </c>
      <c r="B933" s="7" t="s">
        <v>39</v>
      </c>
      <c r="C933" s="7" t="s">
        <v>80</v>
      </c>
      <c r="D933" s="7"/>
      <c r="E933" s="7" t="s">
        <v>10</v>
      </c>
      <c r="F933" s="7" t="s">
        <v>65</v>
      </c>
      <c r="G933" s="11">
        <v>39581.110031442877</v>
      </c>
    </row>
    <row r="934" spans="1:7" hidden="1">
      <c r="A934" t="str">
        <f t="shared" si="14"/>
        <v>USADO-07N1-Standard-SÉRIE 7</v>
      </c>
      <c r="B934" s="7" t="s">
        <v>39</v>
      </c>
      <c r="C934" s="7" t="s">
        <v>85</v>
      </c>
      <c r="D934" s="7" t="s">
        <v>259</v>
      </c>
      <c r="E934" s="7" t="s">
        <v>33</v>
      </c>
      <c r="F934" s="7" t="s">
        <v>65</v>
      </c>
      <c r="G934" s="11">
        <v>25840.069649348079</v>
      </c>
    </row>
    <row r="935" spans="1:7" hidden="1">
      <c r="A935" t="str">
        <f t="shared" si="14"/>
        <v>USADO-07N2-Plus-SÉRIE 7</v>
      </c>
      <c r="B935" s="7" t="s">
        <v>39</v>
      </c>
      <c r="C935" s="7" t="s">
        <v>89</v>
      </c>
      <c r="D935" s="7"/>
      <c r="E935" s="7" t="s">
        <v>10</v>
      </c>
      <c r="F935" s="7" t="s">
        <v>65</v>
      </c>
      <c r="G935" s="11">
        <v>47964.008880896938</v>
      </c>
    </row>
    <row r="936" spans="1:7" hidden="1">
      <c r="A936" t="str">
        <f t="shared" si="14"/>
        <v>USADO-07N4-Standard-SÉRIE 7</v>
      </c>
      <c r="B936" s="7" t="s">
        <v>39</v>
      </c>
      <c r="C936" s="7" t="s">
        <v>94</v>
      </c>
      <c r="D936" s="7" t="s">
        <v>260</v>
      </c>
      <c r="E936" s="7" t="s">
        <v>33</v>
      </c>
      <c r="F936" s="7" t="s">
        <v>65</v>
      </c>
      <c r="G936" s="11">
        <v>31803.16264535148</v>
      </c>
    </row>
    <row r="937" spans="1:7" hidden="1">
      <c r="A937" t="str">
        <f t="shared" si="14"/>
        <v>USADO-07N5-Plus-SÉRIE 7</v>
      </c>
      <c r="B937" s="7" t="s">
        <v>39</v>
      </c>
      <c r="C937" s="7" t="s">
        <v>98</v>
      </c>
      <c r="D937" s="7"/>
      <c r="E937" s="7" t="s">
        <v>10</v>
      </c>
      <c r="F937" s="7" t="s">
        <v>65</v>
      </c>
      <c r="G937" s="11">
        <v>55223.426441248906</v>
      </c>
    </row>
    <row r="938" spans="1:7" hidden="1">
      <c r="A938" t="str">
        <f t="shared" si="14"/>
        <v>USADO-07NW-Standard-SÉRIE 7</v>
      </c>
      <c r="B938" s="7" t="s">
        <v>39</v>
      </c>
      <c r="C938" s="7" t="s">
        <v>103</v>
      </c>
      <c r="D938" s="7" t="s">
        <v>261</v>
      </c>
      <c r="E938" s="7" t="s">
        <v>33</v>
      </c>
      <c r="F938" s="7" t="s">
        <v>65</v>
      </c>
      <c r="G938" s="11">
        <v>19358.44682760525</v>
      </c>
    </row>
    <row r="939" spans="1:7" hidden="1">
      <c r="A939" t="str">
        <f t="shared" si="14"/>
        <v>USADO-07NK-Plus-SÉRIE 7</v>
      </c>
      <c r="B939" s="7" t="s">
        <v>39</v>
      </c>
      <c r="C939" s="7" t="s">
        <v>107</v>
      </c>
      <c r="D939" s="7"/>
      <c r="E939" s="7" t="s">
        <v>10</v>
      </c>
      <c r="F939" s="7" t="s">
        <v>65</v>
      </c>
      <c r="G939" s="11">
        <v>34655.076686918328</v>
      </c>
    </row>
    <row r="940" spans="1:7" hidden="1">
      <c r="A940" t="str">
        <f t="shared" si="14"/>
        <v>USADO-07N7-Standard-SÉRIE 7</v>
      </c>
      <c r="B940" s="7" t="s">
        <v>39</v>
      </c>
      <c r="C940" s="7" t="s">
        <v>112</v>
      </c>
      <c r="D940" s="7" t="s">
        <v>262</v>
      </c>
      <c r="E940" s="7" t="s">
        <v>33</v>
      </c>
      <c r="F940" s="7" t="s">
        <v>65</v>
      </c>
      <c r="G940" s="11">
        <v>22123.939231548859</v>
      </c>
    </row>
    <row r="941" spans="1:7" hidden="1">
      <c r="A941" t="str">
        <f t="shared" si="14"/>
        <v>USADO-07N8-Plus-SÉRIE 7</v>
      </c>
      <c r="B941" s="7" t="s">
        <v>39</v>
      </c>
      <c r="C941" s="7" t="s">
        <v>116</v>
      </c>
      <c r="D941" s="7"/>
      <c r="E941" s="7" t="s">
        <v>10</v>
      </c>
      <c r="F941" s="7" t="s">
        <v>65</v>
      </c>
      <c r="G941" s="11">
        <v>40445.326407675253</v>
      </c>
    </row>
    <row r="942" spans="1:7" hidden="1">
      <c r="A942" t="str">
        <f t="shared" si="14"/>
        <v>USADO-07NH-Standard-SÉRIE 7</v>
      </c>
      <c r="B942" s="7" t="s">
        <v>39</v>
      </c>
      <c r="C942" s="7" t="s">
        <v>121</v>
      </c>
      <c r="D942" s="7" t="s">
        <v>263</v>
      </c>
      <c r="E942" s="7" t="s">
        <v>33</v>
      </c>
      <c r="F942" s="7" t="s">
        <v>65</v>
      </c>
      <c r="G942" s="11">
        <v>25926.491286971315</v>
      </c>
    </row>
    <row r="943" spans="1:7" hidden="1">
      <c r="A943" t="str">
        <f t="shared" si="14"/>
        <v>USADO-07NA-Plus-SÉRIE 7</v>
      </c>
      <c r="B943" s="7" t="s">
        <v>39</v>
      </c>
      <c r="C943" s="7" t="s">
        <v>125</v>
      </c>
      <c r="D943" s="7"/>
      <c r="E943" s="7" t="s">
        <v>10</v>
      </c>
      <c r="F943" s="7" t="s">
        <v>65</v>
      </c>
      <c r="G943" s="11">
        <v>48050.430518520174</v>
      </c>
    </row>
    <row r="944" spans="1:7" hidden="1">
      <c r="A944" t="str">
        <f t="shared" si="14"/>
        <v>USADO-07UA-Standard-SÉRIE 7</v>
      </c>
      <c r="B944" s="7" t="s">
        <v>39</v>
      </c>
      <c r="C944" s="7" t="s">
        <v>130</v>
      </c>
      <c r="D944" s="7" t="s">
        <v>264</v>
      </c>
      <c r="E944" s="7" t="s">
        <v>33</v>
      </c>
      <c r="F944" s="7" t="s">
        <v>65</v>
      </c>
      <c r="G944" s="11">
        <v>32667.37902158386</v>
      </c>
    </row>
    <row r="945" spans="1:7" hidden="1">
      <c r="A945" t="str">
        <f t="shared" si="14"/>
        <v>USADO-07UB-Plus-SÉRIE 7</v>
      </c>
      <c r="B945" s="7" t="s">
        <v>39</v>
      </c>
      <c r="C945" s="7" t="s">
        <v>133</v>
      </c>
      <c r="D945" s="7"/>
      <c r="E945" s="7" t="s">
        <v>10</v>
      </c>
      <c r="F945" s="7" t="s">
        <v>65</v>
      </c>
      <c r="G945" s="11">
        <v>56779.015918467187</v>
      </c>
    </row>
    <row r="946" spans="1:7" hidden="1">
      <c r="A946" t="str">
        <f t="shared" si="14"/>
        <v>USADO-07US-Standard-SÉRIE 8</v>
      </c>
      <c r="B946" s="7" t="s">
        <v>39</v>
      </c>
      <c r="C946" s="7" t="s">
        <v>34</v>
      </c>
      <c r="D946" s="7" t="s">
        <v>254</v>
      </c>
      <c r="E946" s="7" t="s">
        <v>33</v>
      </c>
      <c r="F946" s="7" t="s">
        <v>70</v>
      </c>
      <c r="G946" s="11">
        <v>13654.61874447156</v>
      </c>
    </row>
    <row r="947" spans="1:7" hidden="1">
      <c r="A947" t="str">
        <f t="shared" si="14"/>
        <v>USADO-07D7-Plus-SÉRIE 8</v>
      </c>
      <c r="B947" s="7" t="s">
        <v>39</v>
      </c>
      <c r="C947" s="7" t="s">
        <v>42</v>
      </c>
      <c r="D947" s="7"/>
      <c r="E947" s="7" t="s">
        <v>10</v>
      </c>
      <c r="F947" s="7" t="s">
        <v>70</v>
      </c>
      <c r="G947" s="11">
        <v>21432.566130562955</v>
      </c>
    </row>
    <row r="948" spans="1:7" hidden="1">
      <c r="A948" t="str">
        <f t="shared" si="14"/>
        <v>USADO-07NG-Standard-SÉRIE 8</v>
      </c>
      <c r="B948" s="7" t="s">
        <v>39</v>
      </c>
      <c r="C948" s="7" t="s">
        <v>49</v>
      </c>
      <c r="D948" s="7" t="s">
        <v>255</v>
      </c>
      <c r="E948" s="7" t="s">
        <v>33</v>
      </c>
      <c r="F948" s="7" t="s">
        <v>70</v>
      </c>
      <c r="G948" s="11">
        <v>19358.44682760525</v>
      </c>
    </row>
    <row r="949" spans="1:7" hidden="1">
      <c r="A949" t="str">
        <f t="shared" si="14"/>
        <v>USADO-07NM-Plus-SÉRIE 8</v>
      </c>
      <c r="B949" s="7" t="s">
        <v>39</v>
      </c>
      <c r="C949" s="7" t="s">
        <v>53</v>
      </c>
      <c r="D949" s="7"/>
      <c r="E949" s="7" t="s">
        <v>10</v>
      </c>
      <c r="F949" s="7" t="s">
        <v>70</v>
      </c>
      <c r="G949" s="11">
        <v>34827.9199621648</v>
      </c>
    </row>
    <row r="950" spans="1:7" hidden="1">
      <c r="A950" t="str">
        <f t="shared" si="14"/>
        <v>USADO-07DA-Standard-SÉRIE 8</v>
      </c>
      <c r="B950" s="7" t="s">
        <v>39</v>
      </c>
      <c r="C950" s="7" t="s">
        <v>58</v>
      </c>
      <c r="D950" s="7" t="s">
        <v>256</v>
      </c>
      <c r="E950" s="7" t="s">
        <v>33</v>
      </c>
      <c r="F950" s="7" t="s">
        <v>70</v>
      </c>
      <c r="G950" s="11">
        <v>26704.286025580455</v>
      </c>
    </row>
    <row r="951" spans="1:7" hidden="1">
      <c r="A951" t="str">
        <f t="shared" si="14"/>
        <v>USADO-07DB-Plus-SÉRIE 8</v>
      </c>
      <c r="B951" s="7" t="s">
        <v>39</v>
      </c>
      <c r="C951" s="7" t="s">
        <v>62</v>
      </c>
      <c r="D951" s="7"/>
      <c r="E951" s="7" t="s">
        <v>10</v>
      </c>
      <c r="F951" s="7" t="s">
        <v>70</v>
      </c>
      <c r="G951" s="11">
        <v>48396.117069013126</v>
      </c>
    </row>
    <row r="952" spans="1:7" hidden="1">
      <c r="A952" t="str">
        <f t="shared" si="14"/>
        <v>USADO-07DD-Standard-SÉRIE 8</v>
      </c>
      <c r="B952" s="7" t="s">
        <v>39</v>
      </c>
      <c r="C952" s="7" t="s">
        <v>67</v>
      </c>
      <c r="D952" s="7" t="s">
        <v>257</v>
      </c>
      <c r="E952" s="7" t="s">
        <v>33</v>
      </c>
      <c r="F952" s="7" t="s">
        <v>70</v>
      </c>
      <c r="G952" s="11">
        <v>19444.868465228486</v>
      </c>
    </row>
    <row r="953" spans="1:7" hidden="1">
      <c r="A953" t="str">
        <f t="shared" si="14"/>
        <v>USADO-07DE-Plus-SÉRIE 8</v>
      </c>
      <c r="B953" s="7" t="s">
        <v>39</v>
      </c>
      <c r="C953" s="7" t="s">
        <v>71</v>
      </c>
      <c r="D953" s="7"/>
      <c r="E953" s="7" t="s">
        <v>10</v>
      </c>
      <c r="F953" s="7" t="s">
        <v>70</v>
      </c>
      <c r="G953" s="11">
        <v>34914.341599788037</v>
      </c>
    </row>
    <row r="954" spans="1:7" hidden="1">
      <c r="A954" t="str">
        <f t="shared" si="14"/>
        <v>USADO-07NX-Standard-SÉRIE 8</v>
      </c>
      <c r="B954" s="7" t="s">
        <v>39</v>
      </c>
      <c r="C954" s="7" t="s">
        <v>76</v>
      </c>
      <c r="D954" s="7" t="s">
        <v>258</v>
      </c>
      <c r="E954" s="7" t="s">
        <v>33</v>
      </c>
      <c r="F954" s="7" t="s">
        <v>70</v>
      </c>
      <c r="G954" s="11">
        <v>22296.782506795331</v>
      </c>
    </row>
    <row r="955" spans="1:7" hidden="1">
      <c r="A955" t="str">
        <f t="shared" si="14"/>
        <v>USADO-07NY-Plus-SÉRIE 8</v>
      </c>
      <c r="B955" s="7" t="s">
        <v>39</v>
      </c>
      <c r="C955" s="7" t="s">
        <v>80</v>
      </c>
      <c r="D955" s="7"/>
      <c r="E955" s="7" t="s">
        <v>10</v>
      </c>
      <c r="F955" s="7" t="s">
        <v>70</v>
      </c>
      <c r="G955" s="11">
        <v>40618.169682921733</v>
      </c>
    </row>
    <row r="956" spans="1:7" hidden="1">
      <c r="A956" t="str">
        <f t="shared" si="14"/>
        <v>USADO-07N1-Standard-SÉRIE 8</v>
      </c>
      <c r="B956" s="7" t="s">
        <v>39</v>
      </c>
      <c r="C956" s="7" t="s">
        <v>85</v>
      </c>
      <c r="D956" s="7" t="s">
        <v>259</v>
      </c>
      <c r="E956" s="7" t="s">
        <v>33</v>
      </c>
      <c r="F956" s="7" t="s">
        <v>70</v>
      </c>
      <c r="G956" s="11">
        <v>26877.129300826931</v>
      </c>
    </row>
    <row r="957" spans="1:7" hidden="1">
      <c r="A957" t="str">
        <f t="shared" si="14"/>
        <v>USADO-07N2-Plus-SÉRIE 8</v>
      </c>
      <c r="B957" s="7" t="s">
        <v>39</v>
      </c>
      <c r="C957" s="7" t="s">
        <v>89</v>
      </c>
      <c r="D957" s="7"/>
      <c r="E957" s="7" t="s">
        <v>10</v>
      </c>
      <c r="F957" s="7" t="s">
        <v>70</v>
      </c>
      <c r="G957" s="11">
        <v>49087.490169999022</v>
      </c>
    </row>
    <row r="958" spans="1:7" hidden="1">
      <c r="A958" t="str">
        <f t="shared" si="14"/>
        <v>USADO-07N4-Standard-SÉRIE 8</v>
      </c>
      <c r="B958" s="7" t="s">
        <v>39</v>
      </c>
      <c r="C958" s="7" t="s">
        <v>94</v>
      </c>
      <c r="D958" s="7" t="s">
        <v>260</v>
      </c>
      <c r="E958" s="7" t="s">
        <v>33</v>
      </c>
      <c r="F958" s="7" t="s">
        <v>70</v>
      </c>
      <c r="G958" s="11">
        <v>32494.535746337384</v>
      </c>
    </row>
    <row r="959" spans="1:7" hidden="1">
      <c r="A959" t="str">
        <f t="shared" si="14"/>
        <v>USADO-07N5-Plus-SÉRIE 8</v>
      </c>
      <c r="B959" s="7" t="s">
        <v>39</v>
      </c>
      <c r="C959" s="7" t="s">
        <v>98</v>
      </c>
      <c r="D959" s="7"/>
      <c r="E959" s="7" t="s">
        <v>10</v>
      </c>
      <c r="F959" s="7" t="s">
        <v>70</v>
      </c>
      <c r="G959" s="11">
        <v>56606.172643220707</v>
      </c>
    </row>
    <row r="960" spans="1:7" hidden="1">
      <c r="A960" t="str">
        <f t="shared" si="14"/>
        <v>USADO-07NW-Standard-SÉRIE 8</v>
      </c>
      <c r="B960" s="7" t="s">
        <v>39</v>
      </c>
      <c r="C960" s="7" t="s">
        <v>103</v>
      </c>
      <c r="D960" s="7" t="s">
        <v>261</v>
      </c>
      <c r="E960" s="7" t="s">
        <v>33</v>
      </c>
      <c r="F960" s="7" t="s">
        <v>70</v>
      </c>
      <c r="G960" s="11">
        <v>20049.819928591151</v>
      </c>
    </row>
    <row r="961" spans="1:7" hidden="1">
      <c r="A961" t="str">
        <f t="shared" si="14"/>
        <v>USADO-07NK-Plus-SÉRIE 8</v>
      </c>
      <c r="B961" s="7" t="s">
        <v>39</v>
      </c>
      <c r="C961" s="7" t="s">
        <v>107</v>
      </c>
      <c r="D961" s="7"/>
      <c r="E961" s="7" t="s">
        <v>10</v>
      </c>
      <c r="F961" s="7" t="s">
        <v>70</v>
      </c>
      <c r="G961" s="11">
        <v>35519.293063150704</v>
      </c>
    </row>
    <row r="962" spans="1:7" hidden="1">
      <c r="A962" t="str">
        <f t="shared" si="14"/>
        <v>USADO-07N7-Standard-SÉRIE 8</v>
      </c>
      <c r="B962" s="7" t="s">
        <v>39</v>
      </c>
      <c r="C962" s="7" t="s">
        <v>112</v>
      </c>
      <c r="D962" s="7" t="s">
        <v>262</v>
      </c>
      <c r="E962" s="7" t="s">
        <v>33</v>
      </c>
      <c r="F962" s="7" t="s">
        <v>70</v>
      </c>
      <c r="G962" s="11">
        <v>22728.890694911519</v>
      </c>
    </row>
    <row r="963" spans="1:7" hidden="1">
      <c r="A963" t="str">
        <f t="shared" si="14"/>
        <v>USADO-07N8-Plus-SÉRIE 8</v>
      </c>
      <c r="B963" s="7" t="s">
        <v>39</v>
      </c>
      <c r="C963" s="7" t="s">
        <v>116</v>
      </c>
      <c r="D963" s="7"/>
      <c r="E963" s="7" t="s">
        <v>10</v>
      </c>
      <c r="F963" s="7" t="s">
        <v>70</v>
      </c>
      <c r="G963" s="11">
        <v>41395.964421530865</v>
      </c>
    </row>
    <row r="964" spans="1:7" hidden="1">
      <c r="A964" t="str">
        <f t="shared" si="14"/>
        <v>USADO-07NH-Standard-SÉRIE 8</v>
      </c>
      <c r="B964" s="7" t="s">
        <v>39</v>
      </c>
      <c r="C964" s="7" t="s">
        <v>121</v>
      </c>
      <c r="D964" s="7" t="s">
        <v>263</v>
      </c>
      <c r="E964" s="7" t="s">
        <v>33</v>
      </c>
      <c r="F964" s="7" t="s">
        <v>70</v>
      </c>
      <c r="G964" s="11">
        <v>27049.972576073407</v>
      </c>
    </row>
    <row r="965" spans="1:7" hidden="1">
      <c r="A965" t="str">
        <f t="shared" si="14"/>
        <v>USADO-07NA-Plus-SÉRIE 8</v>
      </c>
      <c r="B965" s="7" t="s">
        <v>39</v>
      </c>
      <c r="C965" s="7" t="s">
        <v>125</v>
      </c>
      <c r="D965" s="7"/>
      <c r="E965" s="7" t="s">
        <v>10</v>
      </c>
      <c r="F965" s="7" t="s">
        <v>70</v>
      </c>
      <c r="G965" s="11">
        <v>49173.911807622266</v>
      </c>
    </row>
    <row r="966" spans="1:7" hidden="1">
      <c r="A966" t="str">
        <f t="shared" si="14"/>
        <v>USADO-07UA-Standard-SÉRIE 8</v>
      </c>
      <c r="B966" s="7" t="s">
        <v>39</v>
      </c>
      <c r="C966" s="7" t="s">
        <v>130</v>
      </c>
      <c r="D966" s="7" t="s">
        <v>264</v>
      </c>
      <c r="E966" s="7" t="s">
        <v>33</v>
      </c>
      <c r="F966" s="7" t="s">
        <v>70</v>
      </c>
      <c r="G966" s="11">
        <v>33272.33048494652</v>
      </c>
    </row>
    <row r="967" spans="1:7" hidden="1">
      <c r="A967" t="str">
        <f t="shared" si="14"/>
        <v>USADO-07UB-Plus-SÉRIE 8</v>
      </c>
      <c r="B967" s="7" t="s">
        <v>39</v>
      </c>
      <c r="C967" s="7" t="s">
        <v>133</v>
      </c>
      <c r="D967" s="7"/>
      <c r="E967" s="7" t="s">
        <v>10</v>
      </c>
      <c r="F967" s="7" t="s">
        <v>70</v>
      </c>
      <c r="G967" s="11">
        <v>57816.075569946035</v>
      </c>
    </row>
    <row r="968" spans="1:7" hidden="1">
      <c r="A968" t="str">
        <f t="shared" si="14"/>
        <v>USADO-07US-Standard-M8</v>
      </c>
      <c r="B968" s="7" t="s">
        <v>39</v>
      </c>
      <c r="C968" s="7" t="s">
        <v>34</v>
      </c>
      <c r="D968" s="7" t="s">
        <v>254</v>
      </c>
      <c r="E968" s="7" t="s">
        <v>33</v>
      </c>
      <c r="F968" s="7" t="s">
        <v>119</v>
      </c>
      <c r="G968" s="11">
        <v>26531.442750333979</v>
      </c>
    </row>
    <row r="969" spans="1:7" hidden="1">
      <c r="A969" t="str">
        <f t="shared" si="14"/>
        <v>USADO-07D7-Plus-M8</v>
      </c>
      <c r="B969" s="7" t="s">
        <v>39</v>
      </c>
      <c r="C969" s="7" t="s">
        <v>42</v>
      </c>
      <c r="D969" s="7"/>
      <c r="E969" s="7" t="s">
        <v>10</v>
      </c>
      <c r="F969" s="7" t="s">
        <v>119</v>
      </c>
      <c r="G969" s="11">
        <v>33790.860310685952</v>
      </c>
    </row>
    <row r="970" spans="1:7" hidden="1">
      <c r="A970" t="str">
        <f t="shared" si="14"/>
        <v>USADO-07NG-Standard-M8</v>
      </c>
      <c r="B970" s="7" t="s">
        <v>39</v>
      </c>
      <c r="C970" s="7" t="s">
        <v>49</v>
      </c>
      <c r="D970" s="7" t="s">
        <v>255</v>
      </c>
      <c r="E970" s="7" t="s">
        <v>33</v>
      </c>
      <c r="F970" s="7" t="s">
        <v>119</v>
      </c>
      <c r="G970" s="11">
        <v>30852.524631495868</v>
      </c>
    </row>
    <row r="971" spans="1:7" hidden="1">
      <c r="A971" t="str">
        <f t="shared" si="14"/>
        <v>USADO-07NM-Plus-M8</v>
      </c>
      <c r="B971" s="7" t="s">
        <v>39</v>
      </c>
      <c r="C971" s="7" t="s">
        <v>53</v>
      </c>
      <c r="D971" s="7"/>
      <c r="E971" s="7" t="s">
        <v>10</v>
      </c>
      <c r="F971" s="7" t="s">
        <v>119</v>
      </c>
      <c r="G971" s="11">
        <v>55914.799542234803</v>
      </c>
    </row>
    <row r="972" spans="1:7" hidden="1">
      <c r="A972" t="str">
        <f t="shared" si="14"/>
        <v>USADO-07DA-Standard-M8</v>
      </c>
      <c r="B972" s="7" t="s">
        <v>39</v>
      </c>
      <c r="C972" s="7" t="s">
        <v>58</v>
      </c>
      <c r="D972" s="7" t="s">
        <v>256</v>
      </c>
      <c r="E972" s="7" t="s">
        <v>33</v>
      </c>
      <c r="F972" s="7" t="s">
        <v>119</v>
      </c>
      <c r="G972" s="11">
        <v>45717.046302692754</v>
      </c>
    </row>
    <row r="973" spans="1:7" hidden="1">
      <c r="A973" t="str">
        <f t="shared" si="14"/>
        <v>USADO-07DB-Plus-M8</v>
      </c>
      <c r="B973" s="7" t="s">
        <v>39</v>
      </c>
      <c r="C973" s="7" t="s">
        <v>62</v>
      </c>
      <c r="D973" s="7"/>
      <c r="E973" s="7" t="s">
        <v>10</v>
      </c>
      <c r="F973" s="7" t="s">
        <v>119</v>
      </c>
      <c r="G973" s="11">
        <v>73458.391979752065</v>
      </c>
    </row>
    <row r="974" spans="1:7" hidden="1">
      <c r="A974" t="str">
        <f t="shared" ref="A974:A1037" si="15">B974&amp;"-"&amp;C974&amp;"-"&amp;E974&amp;"-"&amp;F974</f>
        <v>USADO-07DD-Standard-M8</v>
      </c>
      <c r="B974" s="7" t="s">
        <v>39</v>
      </c>
      <c r="C974" s="7" t="s">
        <v>67</v>
      </c>
      <c r="D974" s="7" t="s">
        <v>257</v>
      </c>
      <c r="E974" s="7" t="s">
        <v>33</v>
      </c>
      <c r="F974" s="7" t="s">
        <v>119</v>
      </c>
      <c r="G974" s="11">
        <v>32580.95738396062</v>
      </c>
    </row>
    <row r="975" spans="1:7" hidden="1">
      <c r="A975" t="str">
        <f t="shared" si="15"/>
        <v>USADO-07DE-Plus-M8</v>
      </c>
      <c r="B975" s="7" t="s">
        <v>39</v>
      </c>
      <c r="C975" s="7" t="s">
        <v>71</v>
      </c>
      <c r="D975" s="7"/>
      <c r="E975" s="7" t="s">
        <v>10</v>
      </c>
      <c r="F975" s="7" t="s">
        <v>119</v>
      </c>
      <c r="G975" s="11">
        <v>56001.221179858047</v>
      </c>
    </row>
    <row r="976" spans="1:7" hidden="1">
      <c r="A976" t="str">
        <f t="shared" si="15"/>
        <v>USADO-07NX-Standard-M8</v>
      </c>
      <c r="B976" s="7" t="s">
        <v>39</v>
      </c>
      <c r="C976" s="7" t="s">
        <v>76</v>
      </c>
      <c r="D976" s="7" t="s">
        <v>258</v>
      </c>
      <c r="E976" s="7" t="s">
        <v>33</v>
      </c>
      <c r="F976" s="7" t="s">
        <v>119</v>
      </c>
      <c r="G976" s="11">
        <v>42605.867348256194</v>
      </c>
    </row>
    <row r="977" spans="1:7" hidden="1">
      <c r="A977" t="str">
        <f t="shared" si="15"/>
        <v>USADO-07NY-Plus-M8</v>
      </c>
      <c r="B977" s="7" t="s">
        <v>39</v>
      </c>
      <c r="C977" s="7" t="s">
        <v>80</v>
      </c>
      <c r="D977" s="7"/>
      <c r="E977" s="7" t="s">
        <v>10</v>
      </c>
      <c r="F977" s="7" t="s">
        <v>119</v>
      </c>
      <c r="G977" s="11">
        <v>65507.601318414192</v>
      </c>
    </row>
    <row r="978" spans="1:7" hidden="1">
      <c r="A978" t="str">
        <f t="shared" si="15"/>
        <v>USADO-07N1-Standard-M8</v>
      </c>
      <c r="B978" s="7" t="s">
        <v>39</v>
      </c>
      <c r="C978" s="7" t="s">
        <v>85</v>
      </c>
      <c r="D978" s="7" t="s">
        <v>259</v>
      </c>
      <c r="E978" s="7" t="s">
        <v>33</v>
      </c>
      <c r="F978" s="7" t="s">
        <v>119</v>
      </c>
      <c r="G978" s="11">
        <v>50815.922922463782</v>
      </c>
    </row>
    <row r="979" spans="1:7" hidden="1">
      <c r="A979" t="str">
        <f t="shared" si="15"/>
        <v>USADO-07N2-Plus-M8</v>
      </c>
      <c r="B979" s="7" t="s">
        <v>39</v>
      </c>
      <c r="C979" s="7" t="s">
        <v>89</v>
      </c>
      <c r="D979" s="7"/>
      <c r="E979" s="7" t="s">
        <v>10</v>
      </c>
      <c r="F979" s="7" t="s">
        <v>119</v>
      </c>
      <c r="G979" s="11">
        <v>75532.511282709762</v>
      </c>
    </row>
    <row r="980" spans="1:7" hidden="1">
      <c r="A980" t="str">
        <f t="shared" si="15"/>
        <v>USADO-07N4-Standard-M8</v>
      </c>
      <c r="B980" s="7" t="s">
        <v>39</v>
      </c>
      <c r="C980" s="7" t="s">
        <v>94</v>
      </c>
      <c r="D980" s="7" t="s">
        <v>260</v>
      </c>
      <c r="E980" s="7" t="s">
        <v>33</v>
      </c>
      <c r="F980" s="7" t="s">
        <v>119</v>
      </c>
      <c r="G980" s="11">
        <v>53408.572051160911</v>
      </c>
    </row>
    <row r="981" spans="1:7" hidden="1">
      <c r="A981" t="str">
        <f t="shared" si="15"/>
        <v>USADO-07N5-Plus-M8</v>
      </c>
      <c r="B981" s="7" t="s">
        <v>39</v>
      </c>
      <c r="C981" s="7" t="s">
        <v>98</v>
      </c>
      <c r="D981" s="7"/>
      <c r="E981" s="7" t="s">
        <v>10</v>
      </c>
      <c r="F981" s="7" t="s">
        <v>119</v>
      </c>
      <c r="G981" s="11">
        <v>104397.33824887116</v>
      </c>
    </row>
    <row r="982" spans="1:7" hidden="1">
      <c r="A982" t="str">
        <f t="shared" si="15"/>
        <v>USADO-07NW-Standard-M8</v>
      </c>
      <c r="B982" s="7" t="s">
        <v>39</v>
      </c>
      <c r="C982" s="7" t="s">
        <v>103</v>
      </c>
      <c r="D982" s="7" t="s">
        <v>261</v>
      </c>
      <c r="E982" s="7" t="s">
        <v>33</v>
      </c>
      <c r="F982" s="7" t="s">
        <v>119</v>
      </c>
      <c r="G982" s="11">
        <v>34222.96849880214</v>
      </c>
    </row>
    <row r="983" spans="1:7" hidden="1">
      <c r="A983" t="str">
        <f t="shared" si="15"/>
        <v>USADO-07NK-Plus-M8</v>
      </c>
      <c r="B983" s="7" t="s">
        <v>39</v>
      </c>
      <c r="C983" s="7" t="s">
        <v>107</v>
      </c>
      <c r="D983" s="7"/>
      <c r="E983" s="7" t="s">
        <v>10</v>
      </c>
      <c r="F983" s="7" t="s">
        <v>119</v>
      </c>
      <c r="G983" s="11">
        <v>56865.437556090423</v>
      </c>
    </row>
    <row r="984" spans="1:7" hidden="1">
      <c r="A984" t="str">
        <f t="shared" si="15"/>
        <v>USADO-07N7-Standard-M8</v>
      </c>
      <c r="B984" s="7" t="s">
        <v>39</v>
      </c>
      <c r="C984" s="7" t="s">
        <v>112</v>
      </c>
      <c r="D984" s="7" t="s">
        <v>262</v>
      </c>
      <c r="E984" s="7" t="s">
        <v>33</v>
      </c>
      <c r="F984" s="7" t="s">
        <v>119</v>
      </c>
      <c r="G984" s="11">
        <v>50038.128183854642</v>
      </c>
    </row>
    <row r="985" spans="1:7" hidden="1">
      <c r="A985" t="str">
        <f t="shared" si="15"/>
        <v>USADO-07N8-Plus-M8</v>
      </c>
      <c r="B985" s="7" t="s">
        <v>39</v>
      </c>
      <c r="C985" s="7" t="s">
        <v>116</v>
      </c>
      <c r="D985" s="7"/>
      <c r="E985" s="7" t="s">
        <v>10</v>
      </c>
      <c r="F985" s="7" t="s">
        <v>119</v>
      </c>
      <c r="G985" s="11">
        <v>66371.817694646568</v>
      </c>
    </row>
    <row r="986" spans="1:7" hidden="1">
      <c r="A986" t="str">
        <f t="shared" si="15"/>
        <v>USADO-07NH-Standard-M8</v>
      </c>
      <c r="B986" s="7" t="s">
        <v>39</v>
      </c>
      <c r="C986" s="7" t="s">
        <v>121</v>
      </c>
      <c r="D986" s="7" t="s">
        <v>263</v>
      </c>
      <c r="E986" s="7" t="s">
        <v>33</v>
      </c>
      <c r="F986" s="7" t="s">
        <v>119</v>
      </c>
      <c r="G986" s="11">
        <v>53581.41532640739</v>
      </c>
    </row>
    <row r="987" spans="1:7" hidden="1">
      <c r="A987" t="str">
        <f t="shared" si="15"/>
        <v>USADO-07NA-Plus-M8</v>
      </c>
      <c r="B987" s="7" t="s">
        <v>39</v>
      </c>
      <c r="C987" s="7" t="s">
        <v>125</v>
      </c>
      <c r="D987" s="7"/>
      <c r="E987" s="7" t="s">
        <v>10</v>
      </c>
      <c r="F987" s="7" t="s">
        <v>119</v>
      </c>
      <c r="G987" s="11">
        <v>75618.932920333013</v>
      </c>
    </row>
    <row r="988" spans="1:7" hidden="1">
      <c r="A988" t="str">
        <f t="shared" si="15"/>
        <v>USADO-07UA-Standard-M8</v>
      </c>
      <c r="B988" s="7" t="s">
        <v>39</v>
      </c>
      <c r="C988" s="7" t="s">
        <v>130</v>
      </c>
      <c r="D988" s="7" t="s">
        <v>264</v>
      </c>
      <c r="E988" s="7" t="s">
        <v>33</v>
      </c>
      <c r="F988" s="7" t="s">
        <v>119</v>
      </c>
      <c r="G988" s="11">
        <v>61100.097799629068</v>
      </c>
    </row>
    <row r="989" spans="1:7" hidden="1">
      <c r="A989" t="str">
        <f t="shared" si="15"/>
        <v>USADO-07UB-Plus-M8</v>
      </c>
      <c r="B989" s="7" t="s">
        <v>39</v>
      </c>
      <c r="C989" s="7" t="s">
        <v>133</v>
      </c>
      <c r="D989" s="7"/>
      <c r="E989" s="7" t="s">
        <v>10</v>
      </c>
      <c r="F989" s="7" t="s">
        <v>119</v>
      </c>
      <c r="G989" s="11">
        <v>108718.42013003306</v>
      </c>
    </row>
    <row r="990" spans="1:7" hidden="1">
      <c r="A990" t="str">
        <f t="shared" si="15"/>
        <v>USADO-07US-Standard-X1</v>
      </c>
      <c r="B990" s="7" t="s">
        <v>39</v>
      </c>
      <c r="C990" s="7" t="s">
        <v>34</v>
      </c>
      <c r="D990" s="7" t="s">
        <v>254</v>
      </c>
      <c r="E990" s="7" t="s">
        <v>33</v>
      </c>
      <c r="F990" s="7" t="s">
        <v>132</v>
      </c>
      <c r="G990" s="11">
        <v>9419.9585009329112</v>
      </c>
    </row>
    <row r="991" spans="1:7" hidden="1">
      <c r="A991" t="str">
        <f t="shared" si="15"/>
        <v>USADO-07D7-Plus-X1</v>
      </c>
      <c r="B991" s="7" t="s">
        <v>39</v>
      </c>
      <c r="C991" s="7" t="s">
        <v>42</v>
      </c>
      <c r="D991" s="7"/>
      <c r="E991" s="7" t="s">
        <v>10</v>
      </c>
      <c r="F991" s="7" t="s">
        <v>132</v>
      </c>
      <c r="G991" s="11">
        <v>14000.305294964512</v>
      </c>
    </row>
    <row r="992" spans="1:7" hidden="1">
      <c r="A992" t="str">
        <f t="shared" si="15"/>
        <v>USADO-07NG-Standard-X1</v>
      </c>
      <c r="B992" s="7" t="s">
        <v>39</v>
      </c>
      <c r="C992" s="7" t="s">
        <v>49</v>
      </c>
      <c r="D992" s="7" t="s">
        <v>255</v>
      </c>
      <c r="E992" s="7" t="s">
        <v>33</v>
      </c>
      <c r="F992" s="7" t="s">
        <v>132</v>
      </c>
      <c r="G992" s="11">
        <v>13741.040382094798</v>
      </c>
    </row>
    <row r="993" spans="1:7" hidden="1">
      <c r="A993" t="str">
        <f t="shared" si="15"/>
        <v>USADO-07NM-Plus-X1</v>
      </c>
      <c r="B993" s="7" t="s">
        <v>39</v>
      </c>
      <c r="C993" s="7" t="s">
        <v>53</v>
      </c>
      <c r="D993" s="7"/>
      <c r="E993" s="7" t="s">
        <v>10</v>
      </c>
      <c r="F993" s="7" t="s">
        <v>132</v>
      </c>
      <c r="G993" s="11">
        <v>24716.588360245987</v>
      </c>
    </row>
    <row r="994" spans="1:7" hidden="1">
      <c r="A994" t="str">
        <f t="shared" si="15"/>
        <v>USADO-07DA-Standard-X1</v>
      </c>
      <c r="B994" s="7" t="s">
        <v>39</v>
      </c>
      <c r="C994" s="7" t="s">
        <v>58</v>
      </c>
      <c r="D994" s="7" t="s">
        <v>256</v>
      </c>
      <c r="E994" s="7" t="s">
        <v>33</v>
      </c>
      <c r="F994" s="7" t="s">
        <v>132</v>
      </c>
      <c r="G994" s="11">
        <v>18839.917001865822</v>
      </c>
    </row>
    <row r="995" spans="1:7" hidden="1">
      <c r="A995" t="str">
        <f t="shared" si="15"/>
        <v>USADO-07DB-Plus-X1</v>
      </c>
      <c r="B995" s="7" t="s">
        <v>39</v>
      </c>
      <c r="C995" s="7" t="s">
        <v>62</v>
      </c>
      <c r="D995" s="7"/>
      <c r="E995" s="7" t="s">
        <v>10</v>
      </c>
      <c r="F995" s="7" t="s">
        <v>132</v>
      </c>
      <c r="G995" s="11">
        <v>34482.233411671848</v>
      </c>
    </row>
    <row r="996" spans="1:7" hidden="1">
      <c r="A996" t="str">
        <f t="shared" si="15"/>
        <v>USADO-07DD-Standard-X1</v>
      </c>
      <c r="B996" s="7" t="s">
        <v>39</v>
      </c>
      <c r="C996" s="7" t="s">
        <v>67</v>
      </c>
      <c r="D996" s="7" t="s">
        <v>257</v>
      </c>
      <c r="E996" s="7" t="s">
        <v>33</v>
      </c>
      <c r="F996" s="7" t="s">
        <v>132</v>
      </c>
      <c r="G996" s="11">
        <v>13827.462019718036</v>
      </c>
    </row>
    <row r="997" spans="1:7" hidden="1">
      <c r="A997" t="str">
        <f t="shared" si="15"/>
        <v>USADO-07DE-Plus-X1</v>
      </c>
      <c r="B997" s="7" t="s">
        <v>39</v>
      </c>
      <c r="C997" s="7" t="s">
        <v>71</v>
      </c>
      <c r="D997" s="7"/>
      <c r="E997" s="7" t="s">
        <v>10</v>
      </c>
      <c r="F997" s="7" t="s">
        <v>132</v>
      </c>
      <c r="G997" s="11">
        <v>24803.009997869227</v>
      </c>
    </row>
    <row r="998" spans="1:7" hidden="1">
      <c r="A998" t="str">
        <f t="shared" si="15"/>
        <v>USADO-07NX-Standard-X1</v>
      </c>
      <c r="B998" s="7" t="s">
        <v>39</v>
      </c>
      <c r="C998" s="7" t="s">
        <v>76</v>
      </c>
      <c r="D998" s="7" t="s">
        <v>258</v>
      </c>
      <c r="E998" s="7" t="s">
        <v>33</v>
      </c>
      <c r="F998" s="7" t="s">
        <v>132</v>
      </c>
      <c r="G998" s="11">
        <v>16074.424597922216</v>
      </c>
    </row>
    <row r="999" spans="1:7" hidden="1">
      <c r="A999" t="str">
        <f t="shared" si="15"/>
        <v>USADO-07NY-Plus-X1</v>
      </c>
      <c r="B999" s="7" t="s">
        <v>39</v>
      </c>
      <c r="C999" s="7" t="s">
        <v>80</v>
      </c>
      <c r="D999" s="7"/>
      <c r="E999" s="7" t="s">
        <v>10</v>
      </c>
      <c r="F999" s="7" t="s">
        <v>132</v>
      </c>
      <c r="G999" s="11">
        <v>28691.983690914923</v>
      </c>
    </row>
    <row r="1000" spans="1:7" hidden="1">
      <c r="A1000" t="str">
        <f t="shared" si="15"/>
        <v>USADO-07N1-Standard-X1</v>
      </c>
      <c r="B1000" s="7" t="s">
        <v>39</v>
      </c>
      <c r="C1000" s="7" t="s">
        <v>85</v>
      </c>
      <c r="D1000" s="7" t="s">
        <v>259</v>
      </c>
      <c r="E1000" s="7" t="s">
        <v>33</v>
      </c>
      <c r="F1000" s="7" t="s">
        <v>132</v>
      </c>
      <c r="G1000" s="11">
        <v>18926.338639489062</v>
      </c>
    </row>
    <row r="1001" spans="1:7" hidden="1">
      <c r="A1001" t="str">
        <f t="shared" si="15"/>
        <v>USADO-07N2-Plus-X1</v>
      </c>
      <c r="B1001" s="7" t="s">
        <v>39</v>
      </c>
      <c r="C1001" s="7" t="s">
        <v>89</v>
      </c>
      <c r="D1001" s="7"/>
      <c r="E1001" s="7" t="s">
        <v>10</v>
      </c>
      <c r="F1001" s="7" t="s">
        <v>132</v>
      </c>
      <c r="G1001" s="11">
        <v>34827.9199621648</v>
      </c>
    </row>
    <row r="1002" spans="1:7" hidden="1">
      <c r="A1002" t="str">
        <f t="shared" si="15"/>
        <v>USADO-07N4-Standard-X1</v>
      </c>
      <c r="B1002" s="7" t="s">
        <v>39</v>
      </c>
      <c r="C1002" s="7" t="s">
        <v>94</v>
      </c>
      <c r="D1002" s="7" t="s">
        <v>260</v>
      </c>
      <c r="E1002" s="7" t="s">
        <v>33</v>
      </c>
      <c r="F1002" s="7" t="s">
        <v>132</v>
      </c>
      <c r="G1002" s="11">
        <v>23506.685433520659</v>
      </c>
    </row>
    <row r="1003" spans="1:7" hidden="1">
      <c r="A1003" t="str">
        <f t="shared" si="15"/>
        <v>USADO-07N5-Plus-X1</v>
      </c>
      <c r="B1003" s="7" t="s">
        <v>39</v>
      </c>
      <c r="C1003" s="7" t="s">
        <v>98</v>
      </c>
      <c r="D1003" s="7"/>
      <c r="E1003" s="7" t="s">
        <v>10</v>
      </c>
      <c r="F1003" s="7" t="s">
        <v>132</v>
      </c>
      <c r="G1003" s="11">
        <v>41050.277871037921</v>
      </c>
    </row>
    <row r="1004" spans="1:7" hidden="1">
      <c r="A1004" t="str">
        <f t="shared" si="15"/>
        <v>USADO-07NW-Standard-X1</v>
      </c>
      <c r="B1004" s="7" t="s">
        <v>39</v>
      </c>
      <c r="C1004" s="7" t="s">
        <v>103</v>
      </c>
      <c r="D1004" s="7" t="s">
        <v>261</v>
      </c>
      <c r="E1004" s="7" t="s">
        <v>33</v>
      </c>
      <c r="F1004" s="7" t="s">
        <v>132</v>
      </c>
      <c r="G1004" s="11">
        <v>14086.726932587748</v>
      </c>
    </row>
    <row r="1005" spans="1:7" hidden="1">
      <c r="A1005" t="str">
        <f t="shared" si="15"/>
        <v>USADO-07NK-Plus-X1</v>
      </c>
      <c r="B1005" s="7" t="s">
        <v>39</v>
      </c>
      <c r="C1005" s="7" t="s">
        <v>107</v>
      </c>
      <c r="D1005" s="7"/>
      <c r="E1005" s="7" t="s">
        <v>10</v>
      </c>
      <c r="F1005" s="7" t="s">
        <v>132</v>
      </c>
      <c r="G1005" s="11">
        <v>25321.539823608651</v>
      </c>
    </row>
    <row r="1006" spans="1:7" hidden="1">
      <c r="A1006" t="str">
        <f t="shared" si="15"/>
        <v>USADO-07N7-Standard-X1</v>
      </c>
      <c r="B1006" s="7" t="s">
        <v>39</v>
      </c>
      <c r="C1006" s="7" t="s">
        <v>112</v>
      </c>
      <c r="D1006" s="7" t="s">
        <v>262</v>
      </c>
      <c r="E1006" s="7" t="s">
        <v>33</v>
      </c>
      <c r="F1006" s="7" t="s">
        <v>132</v>
      </c>
      <c r="G1006" s="11">
        <v>16247.267873168692</v>
      </c>
    </row>
    <row r="1007" spans="1:7" hidden="1">
      <c r="A1007" t="str">
        <f t="shared" si="15"/>
        <v>USADO-07N8-Plus-X1</v>
      </c>
      <c r="B1007" s="7" t="s">
        <v>39</v>
      </c>
      <c r="C1007" s="7" t="s">
        <v>116</v>
      </c>
      <c r="D1007" s="7"/>
      <c r="E1007" s="7" t="s">
        <v>10</v>
      </c>
      <c r="F1007" s="7" t="s">
        <v>132</v>
      </c>
      <c r="G1007" s="11">
        <v>29210.513516654351</v>
      </c>
    </row>
    <row r="1008" spans="1:7" hidden="1">
      <c r="A1008" t="str">
        <f t="shared" si="15"/>
        <v>USADO-07NH-Standard-X1</v>
      </c>
      <c r="B1008" s="7" t="s">
        <v>39</v>
      </c>
      <c r="C1008" s="7" t="s">
        <v>121</v>
      </c>
      <c r="D1008" s="7" t="s">
        <v>263</v>
      </c>
      <c r="E1008" s="7" t="s">
        <v>33</v>
      </c>
      <c r="F1008" s="7" t="s">
        <v>132</v>
      </c>
      <c r="G1008" s="11">
        <v>19012.760277112298</v>
      </c>
    </row>
    <row r="1009" spans="1:7" hidden="1">
      <c r="A1009" t="str">
        <f t="shared" si="15"/>
        <v>USADO-07NA-Plus-X1</v>
      </c>
      <c r="B1009" s="7" t="s">
        <v>39</v>
      </c>
      <c r="C1009" s="7" t="s">
        <v>125</v>
      </c>
      <c r="D1009" s="7"/>
      <c r="E1009" s="7" t="s">
        <v>10</v>
      </c>
      <c r="F1009" s="7" t="s">
        <v>132</v>
      </c>
      <c r="G1009" s="11">
        <v>34914.341599788037</v>
      </c>
    </row>
    <row r="1010" spans="1:7" hidden="1">
      <c r="A1010" t="str">
        <f t="shared" si="15"/>
        <v>USADO-07UA-Standard-X1</v>
      </c>
      <c r="B1010" s="7" t="s">
        <v>39</v>
      </c>
      <c r="C1010" s="7" t="s">
        <v>130</v>
      </c>
      <c r="D1010" s="7" t="s">
        <v>264</v>
      </c>
      <c r="E1010" s="7" t="s">
        <v>33</v>
      </c>
      <c r="F1010" s="7" t="s">
        <v>132</v>
      </c>
      <c r="G1010" s="11">
        <v>24284.480172129799</v>
      </c>
    </row>
    <row r="1011" spans="1:7" hidden="1">
      <c r="A1011" t="str">
        <f t="shared" si="15"/>
        <v>USADO-07UB-Plus-X1</v>
      </c>
      <c r="B1011" s="7" t="s">
        <v>39</v>
      </c>
      <c r="C1011" s="7" t="s">
        <v>133</v>
      </c>
      <c r="D1011" s="7"/>
      <c r="E1011" s="7" t="s">
        <v>10</v>
      </c>
      <c r="F1011" s="7" t="s">
        <v>132</v>
      </c>
      <c r="G1011" s="11">
        <v>42000.915884893533</v>
      </c>
    </row>
    <row r="1012" spans="1:7" hidden="1">
      <c r="A1012" t="str">
        <f t="shared" si="15"/>
        <v>USADO-07US-Standard-X2</v>
      </c>
      <c r="B1012" s="7" t="s">
        <v>39</v>
      </c>
      <c r="C1012" s="7" t="s">
        <v>34</v>
      </c>
      <c r="D1012" s="7" t="s">
        <v>254</v>
      </c>
      <c r="E1012" s="7" t="s">
        <v>33</v>
      </c>
      <c r="F1012" s="7" t="s">
        <v>135</v>
      </c>
      <c r="G1012" s="11">
        <v>9419.9585009329112</v>
      </c>
    </row>
    <row r="1013" spans="1:7" hidden="1">
      <c r="A1013" t="str">
        <f t="shared" si="15"/>
        <v>USADO-07D7-Plus-X2</v>
      </c>
      <c r="B1013" s="7" t="s">
        <v>39</v>
      </c>
      <c r="C1013" s="7" t="s">
        <v>42</v>
      </c>
      <c r="D1013" s="7"/>
      <c r="E1013" s="7" t="s">
        <v>10</v>
      </c>
      <c r="F1013" s="7" t="s">
        <v>135</v>
      </c>
      <c r="G1013" s="11">
        <v>14000.305294964512</v>
      </c>
    </row>
    <row r="1014" spans="1:7" hidden="1">
      <c r="A1014" t="str">
        <f t="shared" si="15"/>
        <v>USADO-07NG-Standard-X2</v>
      </c>
      <c r="B1014" s="7" t="s">
        <v>39</v>
      </c>
      <c r="C1014" s="7" t="s">
        <v>49</v>
      </c>
      <c r="D1014" s="7" t="s">
        <v>255</v>
      </c>
      <c r="E1014" s="7" t="s">
        <v>33</v>
      </c>
      <c r="F1014" s="7" t="s">
        <v>135</v>
      </c>
      <c r="G1014" s="11">
        <v>13741.040382094798</v>
      </c>
    </row>
    <row r="1015" spans="1:7" hidden="1">
      <c r="A1015" t="str">
        <f t="shared" si="15"/>
        <v>USADO-07NM-Plus-X2</v>
      </c>
      <c r="B1015" s="7" t="s">
        <v>39</v>
      </c>
      <c r="C1015" s="7" t="s">
        <v>53</v>
      </c>
      <c r="D1015" s="7"/>
      <c r="E1015" s="7" t="s">
        <v>10</v>
      </c>
      <c r="F1015" s="7" t="s">
        <v>135</v>
      </c>
      <c r="G1015" s="11">
        <v>24716.588360245987</v>
      </c>
    </row>
    <row r="1016" spans="1:7" hidden="1">
      <c r="A1016" t="str">
        <f t="shared" si="15"/>
        <v>USADO-07DA-Standard-X2</v>
      </c>
      <c r="B1016" s="7" t="s">
        <v>39</v>
      </c>
      <c r="C1016" s="7" t="s">
        <v>58</v>
      </c>
      <c r="D1016" s="7" t="s">
        <v>256</v>
      </c>
      <c r="E1016" s="7" t="s">
        <v>33</v>
      </c>
      <c r="F1016" s="7" t="s">
        <v>135</v>
      </c>
      <c r="G1016" s="11">
        <v>18839.917001865822</v>
      </c>
    </row>
    <row r="1017" spans="1:7" hidden="1">
      <c r="A1017" t="str">
        <f t="shared" si="15"/>
        <v>USADO-07DB-Plus-X2</v>
      </c>
      <c r="B1017" s="7" t="s">
        <v>39</v>
      </c>
      <c r="C1017" s="7" t="s">
        <v>62</v>
      </c>
      <c r="D1017" s="7"/>
      <c r="E1017" s="7" t="s">
        <v>10</v>
      </c>
      <c r="F1017" s="7" t="s">
        <v>135</v>
      </c>
      <c r="G1017" s="11">
        <v>34482.233411671848</v>
      </c>
    </row>
    <row r="1018" spans="1:7" hidden="1">
      <c r="A1018" t="str">
        <f t="shared" si="15"/>
        <v>USADO-07DD-Standard-X2</v>
      </c>
      <c r="B1018" s="7" t="s">
        <v>39</v>
      </c>
      <c r="C1018" s="7" t="s">
        <v>67</v>
      </c>
      <c r="D1018" s="7" t="s">
        <v>257</v>
      </c>
      <c r="E1018" s="7" t="s">
        <v>33</v>
      </c>
      <c r="F1018" s="7" t="s">
        <v>135</v>
      </c>
      <c r="G1018" s="11">
        <v>13827.462019718036</v>
      </c>
    </row>
    <row r="1019" spans="1:7" hidden="1">
      <c r="A1019" t="str">
        <f t="shared" si="15"/>
        <v>USADO-07DE-Plus-X2</v>
      </c>
      <c r="B1019" s="7" t="s">
        <v>39</v>
      </c>
      <c r="C1019" s="7" t="s">
        <v>71</v>
      </c>
      <c r="D1019" s="7"/>
      <c r="E1019" s="7" t="s">
        <v>10</v>
      </c>
      <c r="F1019" s="7" t="s">
        <v>135</v>
      </c>
      <c r="G1019" s="11">
        <v>24803.009997869227</v>
      </c>
    </row>
    <row r="1020" spans="1:7" hidden="1">
      <c r="A1020" t="str">
        <f t="shared" si="15"/>
        <v>USADO-07NX-Standard-X2</v>
      </c>
      <c r="B1020" s="7" t="s">
        <v>39</v>
      </c>
      <c r="C1020" s="7" t="s">
        <v>76</v>
      </c>
      <c r="D1020" s="7" t="s">
        <v>258</v>
      </c>
      <c r="E1020" s="7" t="s">
        <v>33</v>
      </c>
      <c r="F1020" s="7" t="s">
        <v>135</v>
      </c>
      <c r="G1020" s="11">
        <v>16074.424597922216</v>
      </c>
    </row>
    <row r="1021" spans="1:7" hidden="1">
      <c r="A1021" t="str">
        <f t="shared" si="15"/>
        <v>USADO-07NY-Plus-X2</v>
      </c>
      <c r="B1021" s="7" t="s">
        <v>39</v>
      </c>
      <c r="C1021" s="7" t="s">
        <v>80</v>
      </c>
      <c r="D1021" s="7"/>
      <c r="E1021" s="7" t="s">
        <v>10</v>
      </c>
      <c r="F1021" s="7" t="s">
        <v>135</v>
      </c>
      <c r="G1021" s="11">
        <v>28691.983690914923</v>
      </c>
    </row>
    <row r="1022" spans="1:7" hidden="1">
      <c r="A1022" t="str">
        <f t="shared" si="15"/>
        <v>USADO-07N1-Standard-X2</v>
      </c>
      <c r="B1022" s="7" t="s">
        <v>39</v>
      </c>
      <c r="C1022" s="7" t="s">
        <v>85</v>
      </c>
      <c r="D1022" s="7" t="s">
        <v>259</v>
      </c>
      <c r="E1022" s="7" t="s">
        <v>33</v>
      </c>
      <c r="F1022" s="7" t="s">
        <v>135</v>
      </c>
      <c r="G1022" s="11">
        <v>18926.338639489062</v>
      </c>
    </row>
    <row r="1023" spans="1:7" hidden="1">
      <c r="A1023" t="str">
        <f t="shared" si="15"/>
        <v>USADO-07N2-Plus-X2</v>
      </c>
      <c r="B1023" s="7" t="s">
        <v>39</v>
      </c>
      <c r="C1023" s="7" t="s">
        <v>89</v>
      </c>
      <c r="D1023" s="7"/>
      <c r="E1023" s="7" t="s">
        <v>10</v>
      </c>
      <c r="F1023" s="7" t="s">
        <v>135</v>
      </c>
      <c r="G1023" s="11">
        <v>34827.9199621648</v>
      </c>
    </row>
    <row r="1024" spans="1:7" hidden="1">
      <c r="A1024" t="str">
        <f t="shared" si="15"/>
        <v>USADO-07N4-Standard-X2</v>
      </c>
      <c r="B1024" s="7" t="s">
        <v>39</v>
      </c>
      <c r="C1024" s="7" t="s">
        <v>94</v>
      </c>
      <c r="D1024" s="7" t="s">
        <v>260</v>
      </c>
      <c r="E1024" s="7" t="s">
        <v>33</v>
      </c>
      <c r="F1024" s="7" t="s">
        <v>135</v>
      </c>
      <c r="G1024" s="11">
        <v>23506.685433520659</v>
      </c>
    </row>
    <row r="1025" spans="1:7" hidden="1">
      <c r="A1025" t="str">
        <f t="shared" si="15"/>
        <v>USADO-07N5-Plus-X2</v>
      </c>
      <c r="B1025" s="7" t="s">
        <v>39</v>
      </c>
      <c r="C1025" s="7" t="s">
        <v>98</v>
      </c>
      <c r="D1025" s="7"/>
      <c r="E1025" s="7" t="s">
        <v>10</v>
      </c>
      <c r="F1025" s="7" t="s">
        <v>135</v>
      </c>
      <c r="G1025" s="11">
        <v>41050.277871037921</v>
      </c>
    </row>
    <row r="1026" spans="1:7" hidden="1">
      <c r="A1026" t="str">
        <f t="shared" si="15"/>
        <v>USADO-07NW-Standard-X2</v>
      </c>
      <c r="B1026" s="7" t="s">
        <v>39</v>
      </c>
      <c r="C1026" s="7" t="s">
        <v>103</v>
      </c>
      <c r="D1026" s="7" t="s">
        <v>261</v>
      </c>
      <c r="E1026" s="7" t="s">
        <v>33</v>
      </c>
      <c r="F1026" s="7" t="s">
        <v>135</v>
      </c>
      <c r="G1026" s="11">
        <v>14086.726932587748</v>
      </c>
    </row>
    <row r="1027" spans="1:7" hidden="1">
      <c r="A1027" t="str">
        <f t="shared" si="15"/>
        <v>USADO-07NK-Plus-X2</v>
      </c>
      <c r="B1027" s="7" t="s">
        <v>39</v>
      </c>
      <c r="C1027" s="7" t="s">
        <v>107</v>
      </c>
      <c r="D1027" s="7"/>
      <c r="E1027" s="7" t="s">
        <v>10</v>
      </c>
      <c r="F1027" s="7" t="s">
        <v>135</v>
      </c>
      <c r="G1027" s="11">
        <v>25321.539823608651</v>
      </c>
    </row>
    <row r="1028" spans="1:7" hidden="1">
      <c r="A1028" t="str">
        <f t="shared" si="15"/>
        <v>USADO-07N7-Standard-X2</v>
      </c>
      <c r="B1028" s="7" t="s">
        <v>39</v>
      </c>
      <c r="C1028" s="7" t="s">
        <v>112</v>
      </c>
      <c r="D1028" s="7" t="s">
        <v>262</v>
      </c>
      <c r="E1028" s="7" t="s">
        <v>33</v>
      </c>
      <c r="F1028" s="7" t="s">
        <v>135</v>
      </c>
      <c r="G1028" s="11">
        <v>16247.267873168692</v>
      </c>
    </row>
    <row r="1029" spans="1:7" hidden="1">
      <c r="A1029" t="str">
        <f t="shared" si="15"/>
        <v>USADO-07N8-Plus-X2</v>
      </c>
      <c r="B1029" s="7" t="s">
        <v>39</v>
      </c>
      <c r="C1029" s="7" t="s">
        <v>116</v>
      </c>
      <c r="D1029" s="7"/>
      <c r="E1029" s="7" t="s">
        <v>10</v>
      </c>
      <c r="F1029" s="7" t="s">
        <v>135</v>
      </c>
      <c r="G1029" s="11">
        <v>29210.513516654351</v>
      </c>
    </row>
    <row r="1030" spans="1:7" hidden="1">
      <c r="A1030" t="str">
        <f t="shared" si="15"/>
        <v>USADO-07NH-Standard-X2</v>
      </c>
      <c r="B1030" s="7" t="s">
        <v>39</v>
      </c>
      <c r="C1030" s="7" t="s">
        <v>121</v>
      </c>
      <c r="D1030" s="7" t="s">
        <v>263</v>
      </c>
      <c r="E1030" s="7" t="s">
        <v>33</v>
      </c>
      <c r="F1030" s="7" t="s">
        <v>135</v>
      </c>
      <c r="G1030" s="11">
        <v>19012.760277112298</v>
      </c>
    </row>
    <row r="1031" spans="1:7" hidden="1">
      <c r="A1031" t="str">
        <f t="shared" si="15"/>
        <v>USADO-07NA-Plus-X2</v>
      </c>
      <c r="B1031" s="7" t="s">
        <v>39</v>
      </c>
      <c r="C1031" s="7" t="s">
        <v>125</v>
      </c>
      <c r="D1031" s="7"/>
      <c r="E1031" s="7" t="s">
        <v>10</v>
      </c>
      <c r="F1031" s="7" t="s">
        <v>135</v>
      </c>
      <c r="G1031" s="11">
        <v>34914.341599788037</v>
      </c>
    </row>
    <row r="1032" spans="1:7" hidden="1">
      <c r="A1032" t="str">
        <f t="shared" si="15"/>
        <v>USADO-07UA-Standard-X2</v>
      </c>
      <c r="B1032" s="7" t="s">
        <v>39</v>
      </c>
      <c r="C1032" s="7" t="s">
        <v>130</v>
      </c>
      <c r="D1032" s="7" t="s">
        <v>264</v>
      </c>
      <c r="E1032" s="7" t="s">
        <v>33</v>
      </c>
      <c r="F1032" s="7" t="s">
        <v>135</v>
      </c>
      <c r="G1032" s="11">
        <v>24284.480172129799</v>
      </c>
    </row>
    <row r="1033" spans="1:7" hidden="1">
      <c r="A1033" t="str">
        <f t="shared" si="15"/>
        <v>USADO-07UB-Plus-X2</v>
      </c>
      <c r="B1033" s="7" t="s">
        <v>39</v>
      </c>
      <c r="C1033" s="7" t="s">
        <v>133</v>
      </c>
      <c r="D1033" s="7"/>
      <c r="E1033" s="7" t="s">
        <v>10</v>
      </c>
      <c r="F1033" s="7" t="s">
        <v>135</v>
      </c>
      <c r="G1033" s="11">
        <v>42000.915884893533</v>
      </c>
    </row>
    <row r="1034" spans="1:7" hidden="1">
      <c r="A1034" t="str">
        <f t="shared" si="15"/>
        <v>USADO-07US-Standard-X3</v>
      </c>
      <c r="B1034" s="7" t="s">
        <v>39</v>
      </c>
      <c r="C1034" s="7" t="s">
        <v>34</v>
      </c>
      <c r="D1034" s="7" t="s">
        <v>254</v>
      </c>
      <c r="E1034" s="7" t="s">
        <v>33</v>
      </c>
      <c r="F1034" s="7" t="s">
        <v>140</v>
      </c>
      <c r="G1034" s="11">
        <v>10370.596514788527</v>
      </c>
    </row>
    <row r="1035" spans="1:7" hidden="1">
      <c r="A1035" t="str">
        <f t="shared" si="15"/>
        <v>USADO-07D7-Plus-X3</v>
      </c>
      <c r="B1035" s="7" t="s">
        <v>39</v>
      </c>
      <c r="C1035" s="7" t="s">
        <v>42</v>
      </c>
      <c r="D1035" s="7"/>
      <c r="E1035" s="7" t="s">
        <v>10</v>
      </c>
      <c r="F1035" s="7" t="s">
        <v>140</v>
      </c>
      <c r="G1035" s="11">
        <v>15037.364946443364</v>
      </c>
    </row>
    <row r="1036" spans="1:7" hidden="1">
      <c r="A1036" t="str">
        <f t="shared" si="15"/>
        <v>USADO-07NG-Standard-X3</v>
      </c>
      <c r="B1036" s="7" t="s">
        <v>39</v>
      </c>
      <c r="C1036" s="7" t="s">
        <v>49</v>
      </c>
      <c r="D1036" s="7" t="s">
        <v>255</v>
      </c>
      <c r="E1036" s="7" t="s">
        <v>33</v>
      </c>
      <c r="F1036" s="7" t="s">
        <v>140</v>
      </c>
      <c r="G1036" s="11">
        <v>15296.629859313076</v>
      </c>
    </row>
    <row r="1037" spans="1:7" hidden="1">
      <c r="A1037" t="str">
        <f t="shared" si="15"/>
        <v>USADO-07NM-Plus-X3</v>
      </c>
      <c r="B1037" s="7" t="s">
        <v>39</v>
      </c>
      <c r="C1037" s="7" t="s">
        <v>53</v>
      </c>
      <c r="D1037" s="7"/>
      <c r="E1037" s="7" t="s">
        <v>10</v>
      </c>
      <c r="F1037" s="7" t="s">
        <v>140</v>
      </c>
      <c r="G1037" s="11">
        <v>26617.864387957219</v>
      </c>
    </row>
    <row r="1038" spans="1:7" hidden="1">
      <c r="A1038" t="str">
        <f t="shared" ref="A1038:A1101" si="16">B1038&amp;"-"&amp;C1038&amp;"-"&amp;E1038&amp;"-"&amp;F1038</f>
        <v>USADO-07DA-Standard-X3</v>
      </c>
      <c r="B1038" s="7" t="s">
        <v>39</v>
      </c>
      <c r="C1038" s="7" t="s">
        <v>58</v>
      </c>
      <c r="D1038" s="7" t="s">
        <v>256</v>
      </c>
      <c r="E1038" s="7" t="s">
        <v>33</v>
      </c>
      <c r="F1038" s="7" t="s">
        <v>140</v>
      </c>
      <c r="G1038" s="11">
        <v>20654.771391953815</v>
      </c>
    </row>
    <row r="1039" spans="1:7" hidden="1">
      <c r="A1039" t="str">
        <f t="shared" si="16"/>
        <v>USADO-07DB-Plus-X3</v>
      </c>
      <c r="B1039" s="7" t="s">
        <v>39</v>
      </c>
      <c r="C1039" s="7" t="s">
        <v>62</v>
      </c>
      <c r="D1039" s="7"/>
      <c r="E1039" s="7" t="s">
        <v>10</v>
      </c>
      <c r="F1039" s="7" t="s">
        <v>140</v>
      </c>
      <c r="G1039" s="11">
        <v>36988.460902745748</v>
      </c>
    </row>
    <row r="1040" spans="1:7" hidden="1">
      <c r="A1040" t="str">
        <f t="shared" si="16"/>
        <v>USADO-07DD-Standard-X3</v>
      </c>
      <c r="B1040" s="7" t="s">
        <v>39</v>
      </c>
      <c r="C1040" s="7" t="s">
        <v>67</v>
      </c>
      <c r="D1040" s="7" t="s">
        <v>257</v>
      </c>
      <c r="E1040" s="7" t="s">
        <v>33</v>
      </c>
      <c r="F1040" s="7" t="s">
        <v>140</v>
      </c>
      <c r="G1040" s="11">
        <v>15296.629859313076</v>
      </c>
    </row>
    <row r="1041" spans="1:7" hidden="1">
      <c r="A1041" t="str">
        <f t="shared" si="16"/>
        <v>USADO-07DE-Plus-X3</v>
      </c>
      <c r="B1041" s="7" t="s">
        <v>39</v>
      </c>
      <c r="C1041" s="7" t="s">
        <v>71</v>
      </c>
      <c r="D1041" s="7"/>
      <c r="E1041" s="7" t="s">
        <v>10</v>
      </c>
      <c r="F1041" s="7" t="s">
        <v>140</v>
      </c>
      <c r="G1041" s="11">
        <v>26790.707663203695</v>
      </c>
    </row>
    <row r="1042" spans="1:7" hidden="1">
      <c r="A1042" t="str">
        <f t="shared" si="16"/>
        <v>USADO-07NX-Standard-X3</v>
      </c>
      <c r="B1042" s="7" t="s">
        <v>39</v>
      </c>
      <c r="C1042" s="7" t="s">
        <v>76</v>
      </c>
      <c r="D1042" s="7" t="s">
        <v>258</v>
      </c>
      <c r="E1042" s="7" t="s">
        <v>33</v>
      </c>
      <c r="F1042" s="7" t="s">
        <v>140</v>
      </c>
      <c r="G1042" s="11">
        <v>17543.592437517258</v>
      </c>
    </row>
    <row r="1043" spans="1:7" hidden="1">
      <c r="A1043" t="str">
        <f t="shared" si="16"/>
        <v>USADO-07NY-Plus-X3</v>
      </c>
      <c r="B1043" s="7" t="s">
        <v>39</v>
      </c>
      <c r="C1043" s="7" t="s">
        <v>80</v>
      </c>
      <c r="D1043" s="7"/>
      <c r="E1043" s="7" t="s">
        <v>10</v>
      </c>
      <c r="F1043" s="7" t="s">
        <v>140</v>
      </c>
      <c r="G1043" s="11">
        <v>31111.78954436558</v>
      </c>
    </row>
    <row r="1044" spans="1:7" hidden="1">
      <c r="A1044" t="str">
        <f t="shared" si="16"/>
        <v>USADO-07N1-Standard-X3</v>
      </c>
      <c r="B1044" s="7" t="s">
        <v>39</v>
      </c>
      <c r="C1044" s="7" t="s">
        <v>85</v>
      </c>
      <c r="D1044" s="7" t="s">
        <v>259</v>
      </c>
      <c r="E1044" s="7" t="s">
        <v>33</v>
      </c>
      <c r="F1044" s="7" t="s">
        <v>140</v>
      </c>
      <c r="G1044" s="11">
        <v>20741.193029577054</v>
      </c>
    </row>
    <row r="1045" spans="1:7" hidden="1">
      <c r="A1045" t="str">
        <f t="shared" si="16"/>
        <v>USADO-07N2-Plus-X3</v>
      </c>
      <c r="B1045" s="7" t="s">
        <v>39</v>
      </c>
      <c r="C1045" s="7" t="s">
        <v>89</v>
      </c>
      <c r="D1045" s="7"/>
      <c r="E1045" s="7" t="s">
        <v>10</v>
      </c>
      <c r="F1045" s="7" t="s">
        <v>140</v>
      </c>
      <c r="G1045" s="11">
        <v>37161.304177992221</v>
      </c>
    </row>
    <row r="1046" spans="1:7" hidden="1">
      <c r="A1046" t="str">
        <f t="shared" si="16"/>
        <v>USADO-07N4-Standard-X3</v>
      </c>
      <c r="B1046" s="7" t="s">
        <v>39</v>
      </c>
      <c r="C1046" s="7" t="s">
        <v>94</v>
      </c>
      <c r="D1046" s="7" t="s">
        <v>260</v>
      </c>
      <c r="E1046" s="7" t="s">
        <v>33</v>
      </c>
      <c r="F1046" s="7" t="s">
        <v>140</v>
      </c>
      <c r="G1046" s="11">
        <v>25926.491286971315</v>
      </c>
    </row>
    <row r="1047" spans="1:7" hidden="1">
      <c r="A1047" t="str">
        <f t="shared" si="16"/>
        <v>USADO-07N5-Plus-X3</v>
      </c>
      <c r="B1047" s="7" t="s">
        <v>39</v>
      </c>
      <c r="C1047" s="7" t="s">
        <v>98</v>
      </c>
      <c r="D1047" s="7"/>
      <c r="E1047" s="7" t="s">
        <v>10</v>
      </c>
      <c r="F1047" s="7" t="s">
        <v>140</v>
      </c>
      <c r="G1047" s="11">
        <v>44334.300100720953</v>
      </c>
    </row>
    <row r="1048" spans="1:7" hidden="1">
      <c r="A1048" t="str">
        <f t="shared" si="16"/>
        <v>USADO-07NW-Standard-X3</v>
      </c>
      <c r="B1048" s="7" t="s">
        <v>39</v>
      </c>
      <c r="C1048" s="7" t="s">
        <v>103</v>
      </c>
      <c r="D1048" s="7" t="s">
        <v>261</v>
      </c>
      <c r="E1048" s="7" t="s">
        <v>33</v>
      </c>
      <c r="F1048" s="7" t="s">
        <v>140</v>
      </c>
      <c r="G1048" s="11">
        <v>15555.89477218279</v>
      </c>
    </row>
    <row r="1049" spans="1:7" hidden="1">
      <c r="A1049" t="str">
        <f t="shared" si="16"/>
        <v>USADO-07NK-Plus-X3</v>
      </c>
      <c r="B1049" s="7" t="s">
        <v>39</v>
      </c>
      <c r="C1049" s="7" t="s">
        <v>107</v>
      </c>
      <c r="D1049" s="7"/>
      <c r="E1049" s="7" t="s">
        <v>10</v>
      </c>
      <c r="F1049" s="7" t="s">
        <v>140</v>
      </c>
      <c r="G1049" s="11">
        <v>27049.972576073407</v>
      </c>
    </row>
    <row r="1050" spans="1:7" hidden="1">
      <c r="A1050" t="str">
        <f t="shared" si="16"/>
        <v>USADO-07N7-Standard-X3</v>
      </c>
      <c r="B1050" s="7" t="s">
        <v>39</v>
      </c>
      <c r="C1050" s="7" t="s">
        <v>112</v>
      </c>
      <c r="D1050" s="7" t="s">
        <v>262</v>
      </c>
      <c r="E1050" s="7" t="s">
        <v>33</v>
      </c>
      <c r="F1050" s="7" t="s">
        <v>140</v>
      </c>
      <c r="G1050" s="11">
        <v>17802.85735038697</v>
      </c>
    </row>
    <row r="1051" spans="1:7" hidden="1">
      <c r="A1051" t="str">
        <f t="shared" si="16"/>
        <v>USADO-07N8-Plus-X3</v>
      </c>
      <c r="B1051" s="7" t="s">
        <v>39</v>
      </c>
      <c r="C1051" s="7" t="s">
        <v>116</v>
      </c>
      <c r="D1051" s="7"/>
      <c r="E1051" s="7" t="s">
        <v>10</v>
      </c>
      <c r="F1051" s="7" t="s">
        <v>140</v>
      </c>
      <c r="G1051" s="11">
        <v>31543.897732481768</v>
      </c>
    </row>
    <row r="1052" spans="1:7" hidden="1">
      <c r="A1052" t="str">
        <f t="shared" si="16"/>
        <v>USADO-07NH-Standard-X3</v>
      </c>
      <c r="B1052" s="7" t="s">
        <v>39</v>
      </c>
      <c r="C1052" s="7" t="s">
        <v>121</v>
      </c>
      <c r="D1052" s="7" t="s">
        <v>263</v>
      </c>
      <c r="E1052" s="7" t="s">
        <v>33</v>
      </c>
      <c r="F1052" s="7" t="s">
        <v>140</v>
      </c>
      <c r="G1052" s="11">
        <v>20827.614667200291</v>
      </c>
    </row>
    <row r="1053" spans="1:7" hidden="1">
      <c r="A1053" t="str">
        <f t="shared" si="16"/>
        <v>USADO-07NA-Plus-X3</v>
      </c>
      <c r="B1053" s="7" t="s">
        <v>39</v>
      </c>
      <c r="C1053" s="7" t="s">
        <v>125</v>
      </c>
      <c r="D1053" s="7"/>
      <c r="E1053" s="7" t="s">
        <v>10</v>
      </c>
      <c r="F1053" s="7" t="s">
        <v>140</v>
      </c>
      <c r="G1053" s="11">
        <v>37247.725815615457</v>
      </c>
    </row>
    <row r="1054" spans="1:7" hidden="1">
      <c r="A1054" t="str">
        <f t="shared" si="16"/>
        <v>USADO-07UA-Standard-X3</v>
      </c>
      <c r="B1054" s="7" t="s">
        <v>39</v>
      </c>
      <c r="C1054" s="7" t="s">
        <v>130</v>
      </c>
      <c r="D1054" s="7" t="s">
        <v>264</v>
      </c>
      <c r="E1054" s="7" t="s">
        <v>33</v>
      </c>
      <c r="F1054" s="7" t="s">
        <v>140</v>
      </c>
      <c r="G1054" s="11">
        <v>26531.442750333979</v>
      </c>
    </row>
    <row r="1055" spans="1:7" hidden="1">
      <c r="A1055" t="str">
        <f t="shared" si="16"/>
        <v>USADO-07UB-Plus-X3</v>
      </c>
      <c r="B1055" s="7" t="s">
        <v>39</v>
      </c>
      <c r="C1055" s="7" t="s">
        <v>133</v>
      </c>
      <c r="D1055" s="7"/>
      <c r="E1055" s="7" t="s">
        <v>10</v>
      </c>
      <c r="F1055" s="7" t="s">
        <v>140</v>
      </c>
      <c r="G1055" s="11">
        <v>45371.359752199802</v>
      </c>
    </row>
    <row r="1056" spans="1:7" hidden="1">
      <c r="A1056" t="str">
        <f t="shared" si="16"/>
        <v>USADO-07US-Standard-X4</v>
      </c>
      <c r="B1056" s="7" t="s">
        <v>39</v>
      </c>
      <c r="C1056" s="7" t="s">
        <v>34</v>
      </c>
      <c r="D1056" s="7" t="s">
        <v>254</v>
      </c>
      <c r="E1056" s="7" t="s">
        <v>33</v>
      </c>
      <c r="F1056" s="7" t="s">
        <v>149</v>
      </c>
      <c r="G1056" s="11">
        <v>10370.596514788527</v>
      </c>
    </row>
    <row r="1057" spans="1:7" hidden="1">
      <c r="A1057" t="str">
        <f t="shared" si="16"/>
        <v>USADO-07D7-Plus-X4</v>
      </c>
      <c r="B1057" s="7" t="s">
        <v>39</v>
      </c>
      <c r="C1057" s="7" t="s">
        <v>42</v>
      </c>
      <c r="D1057" s="7"/>
      <c r="E1057" s="7" t="s">
        <v>10</v>
      </c>
      <c r="F1057" s="7" t="s">
        <v>149</v>
      </c>
      <c r="G1057" s="11">
        <v>15037.364946443364</v>
      </c>
    </row>
    <row r="1058" spans="1:7" hidden="1">
      <c r="A1058" t="str">
        <f t="shared" si="16"/>
        <v>USADO-07NG-Standard-X4</v>
      </c>
      <c r="B1058" s="7" t="s">
        <v>39</v>
      </c>
      <c r="C1058" s="7" t="s">
        <v>49</v>
      </c>
      <c r="D1058" s="7" t="s">
        <v>255</v>
      </c>
      <c r="E1058" s="7" t="s">
        <v>33</v>
      </c>
      <c r="F1058" s="7" t="s">
        <v>149</v>
      </c>
      <c r="G1058" s="11">
        <v>15296.629859313076</v>
      </c>
    </row>
    <row r="1059" spans="1:7" hidden="1">
      <c r="A1059" t="str">
        <f t="shared" si="16"/>
        <v>USADO-07NM-Plus-X4</v>
      </c>
      <c r="B1059" s="7" t="s">
        <v>39</v>
      </c>
      <c r="C1059" s="7" t="s">
        <v>53</v>
      </c>
      <c r="D1059" s="7"/>
      <c r="E1059" s="7" t="s">
        <v>10</v>
      </c>
      <c r="F1059" s="7" t="s">
        <v>149</v>
      </c>
      <c r="G1059" s="11">
        <v>26617.864387957219</v>
      </c>
    </row>
    <row r="1060" spans="1:7" hidden="1">
      <c r="A1060" t="str">
        <f t="shared" si="16"/>
        <v>USADO-07DA-Standard-X4</v>
      </c>
      <c r="B1060" s="7" t="s">
        <v>39</v>
      </c>
      <c r="C1060" s="7" t="s">
        <v>58</v>
      </c>
      <c r="D1060" s="7" t="s">
        <v>256</v>
      </c>
      <c r="E1060" s="7" t="s">
        <v>33</v>
      </c>
      <c r="F1060" s="7" t="s">
        <v>149</v>
      </c>
      <c r="G1060" s="11">
        <v>20654.771391953815</v>
      </c>
    </row>
    <row r="1061" spans="1:7" hidden="1">
      <c r="A1061" t="str">
        <f t="shared" si="16"/>
        <v>USADO-07DB-Plus-X4</v>
      </c>
      <c r="B1061" s="7" t="s">
        <v>39</v>
      </c>
      <c r="C1061" s="7" t="s">
        <v>62</v>
      </c>
      <c r="D1061" s="7"/>
      <c r="E1061" s="7" t="s">
        <v>10</v>
      </c>
      <c r="F1061" s="7" t="s">
        <v>149</v>
      </c>
      <c r="G1061" s="11">
        <v>36988.460902745748</v>
      </c>
    </row>
    <row r="1062" spans="1:7" hidden="1">
      <c r="A1062" t="str">
        <f t="shared" si="16"/>
        <v>USADO-07DD-Standard-X4</v>
      </c>
      <c r="B1062" s="7" t="s">
        <v>39</v>
      </c>
      <c r="C1062" s="7" t="s">
        <v>67</v>
      </c>
      <c r="D1062" s="7" t="s">
        <v>257</v>
      </c>
      <c r="E1062" s="7" t="s">
        <v>33</v>
      </c>
      <c r="F1062" s="7" t="s">
        <v>149</v>
      </c>
      <c r="G1062" s="11">
        <v>15296.629859313076</v>
      </c>
    </row>
    <row r="1063" spans="1:7" hidden="1">
      <c r="A1063" t="str">
        <f t="shared" si="16"/>
        <v>USADO-07DE-Plus-X4</v>
      </c>
      <c r="B1063" s="7" t="s">
        <v>39</v>
      </c>
      <c r="C1063" s="7" t="s">
        <v>71</v>
      </c>
      <c r="D1063" s="7"/>
      <c r="E1063" s="7" t="s">
        <v>10</v>
      </c>
      <c r="F1063" s="7" t="s">
        <v>149</v>
      </c>
      <c r="G1063" s="11">
        <v>26790.707663203695</v>
      </c>
    </row>
    <row r="1064" spans="1:7" hidden="1">
      <c r="A1064" t="str">
        <f t="shared" si="16"/>
        <v>USADO-07NX-Standard-X4</v>
      </c>
      <c r="B1064" s="7" t="s">
        <v>39</v>
      </c>
      <c r="C1064" s="7" t="s">
        <v>76</v>
      </c>
      <c r="D1064" s="7" t="s">
        <v>258</v>
      </c>
      <c r="E1064" s="7" t="s">
        <v>33</v>
      </c>
      <c r="F1064" s="7" t="s">
        <v>149</v>
      </c>
      <c r="G1064" s="11">
        <v>17543.592437517258</v>
      </c>
    </row>
    <row r="1065" spans="1:7" hidden="1">
      <c r="A1065" t="str">
        <f t="shared" si="16"/>
        <v>USADO-07NY-Plus-X4</v>
      </c>
      <c r="B1065" s="7" t="s">
        <v>39</v>
      </c>
      <c r="C1065" s="7" t="s">
        <v>80</v>
      </c>
      <c r="D1065" s="7"/>
      <c r="E1065" s="7" t="s">
        <v>10</v>
      </c>
      <c r="F1065" s="7" t="s">
        <v>149</v>
      </c>
      <c r="G1065" s="11">
        <v>31111.78954436558</v>
      </c>
    </row>
    <row r="1066" spans="1:7" hidden="1">
      <c r="A1066" t="str">
        <f t="shared" si="16"/>
        <v>USADO-07N1-Standard-X4</v>
      </c>
      <c r="B1066" s="7" t="s">
        <v>39</v>
      </c>
      <c r="C1066" s="7" t="s">
        <v>85</v>
      </c>
      <c r="D1066" s="7" t="s">
        <v>259</v>
      </c>
      <c r="E1066" s="7" t="s">
        <v>33</v>
      </c>
      <c r="F1066" s="7" t="s">
        <v>149</v>
      </c>
      <c r="G1066" s="11">
        <v>20741.193029577054</v>
      </c>
    </row>
    <row r="1067" spans="1:7" hidden="1">
      <c r="A1067" t="str">
        <f t="shared" si="16"/>
        <v>USADO-07N2-Plus-X4</v>
      </c>
      <c r="B1067" s="7" t="s">
        <v>39</v>
      </c>
      <c r="C1067" s="7" t="s">
        <v>89</v>
      </c>
      <c r="D1067" s="7"/>
      <c r="E1067" s="7" t="s">
        <v>10</v>
      </c>
      <c r="F1067" s="7" t="s">
        <v>149</v>
      </c>
      <c r="G1067" s="11">
        <v>37161.304177992221</v>
      </c>
    </row>
    <row r="1068" spans="1:7" hidden="1">
      <c r="A1068" t="str">
        <f t="shared" si="16"/>
        <v>USADO-07N4-Standard-X4</v>
      </c>
      <c r="B1068" s="7" t="s">
        <v>39</v>
      </c>
      <c r="C1068" s="7" t="s">
        <v>94</v>
      </c>
      <c r="D1068" s="7" t="s">
        <v>260</v>
      </c>
      <c r="E1068" s="7" t="s">
        <v>33</v>
      </c>
      <c r="F1068" s="7" t="s">
        <v>149</v>
      </c>
      <c r="G1068" s="11">
        <v>25926.491286971315</v>
      </c>
    </row>
    <row r="1069" spans="1:7" hidden="1">
      <c r="A1069" t="str">
        <f t="shared" si="16"/>
        <v>USADO-07N5-Plus-X4</v>
      </c>
      <c r="B1069" s="7" t="s">
        <v>39</v>
      </c>
      <c r="C1069" s="7" t="s">
        <v>98</v>
      </c>
      <c r="D1069" s="7"/>
      <c r="E1069" s="7" t="s">
        <v>10</v>
      </c>
      <c r="F1069" s="7" t="s">
        <v>149</v>
      </c>
      <c r="G1069" s="11">
        <v>44334.300100720953</v>
      </c>
    </row>
    <row r="1070" spans="1:7" hidden="1">
      <c r="A1070" t="str">
        <f t="shared" si="16"/>
        <v>USADO-07NW-Standard-X4</v>
      </c>
      <c r="B1070" s="7" t="s">
        <v>39</v>
      </c>
      <c r="C1070" s="7" t="s">
        <v>103</v>
      </c>
      <c r="D1070" s="7" t="s">
        <v>261</v>
      </c>
      <c r="E1070" s="7" t="s">
        <v>33</v>
      </c>
      <c r="F1070" s="7" t="s">
        <v>149</v>
      </c>
      <c r="G1070" s="11">
        <v>15555.89477218279</v>
      </c>
    </row>
    <row r="1071" spans="1:7" hidden="1">
      <c r="A1071" t="str">
        <f t="shared" si="16"/>
        <v>USADO-07NK-Plus-X4</v>
      </c>
      <c r="B1071" s="7" t="s">
        <v>39</v>
      </c>
      <c r="C1071" s="7" t="s">
        <v>107</v>
      </c>
      <c r="D1071" s="7"/>
      <c r="E1071" s="7" t="s">
        <v>10</v>
      </c>
      <c r="F1071" s="7" t="s">
        <v>149</v>
      </c>
      <c r="G1071" s="11">
        <v>27049.972576073407</v>
      </c>
    </row>
    <row r="1072" spans="1:7" hidden="1">
      <c r="A1072" t="str">
        <f t="shared" si="16"/>
        <v>USADO-07N7-Standard-X4</v>
      </c>
      <c r="B1072" s="7" t="s">
        <v>39</v>
      </c>
      <c r="C1072" s="7" t="s">
        <v>112</v>
      </c>
      <c r="D1072" s="7" t="s">
        <v>262</v>
      </c>
      <c r="E1072" s="7" t="s">
        <v>33</v>
      </c>
      <c r="F1072" s="7" t="s">
        <v>149</v>
      </c>
      <c r="G1072" s="11">
        <v>17802.85735038697</v>
      </c>
    </row>
    <row r="1073" spans="1:7" hidden="1">
      <c r="A1073" t="str">
        <f t="shared" si="16"/>
        <v>USADO-07N8-Plus-X4</v>
      </c>
      <c r="B1073" s="7" t="s">
        <v>39</v>
      </c>
      <c r="C1073" s="7" t="s">
        <v>116</v>
      </c>
      <c r="D1073" s="7"/>
      <c r="E1073" s="7" t="s">
        <v>10</v>
      </c>
      <c r="F1073" s="7" t="s">
        <v>149</v>
      </c>
      <c r="G1073" s="11">
        <v>31543.897732481768</v>
      </c>
    </row>
    <row r="1074" spans="1:7" hidden="1">
      <c r="A1074" t="str">
        <f t="shared" si="16"/>
        <v>USADO-07NH-Standard-X4</v>
      </c>
      <c r="B1074" s="7" t="s">
        <v>39</v>
      </c>
      <c r="C1074" s="7" t="s">
        <v>121</v>
      </c>
      <c r="D1074" s="7" t="s">
        <v>263</v>
      </c>
      <c r="E1074" s="7" t="s">
        <v>33</v>
      </c>
      <c r="F1074" s="7" t="s">
        <v>149</v>
      </c>
      <c r="G1074" s="11">
        <v>20827.614667200291</v>
      </c>
    </row>
    <row r="1075" spans="1:7" hidden="1">
      <c r="A1075" t="str">
        <f t="shared" si="16"/>
        <v>USADO-07NA-Plus-X4</v>
      </c>
      <c r="B1075" s="7" t="s">
        <v>39</v>
      </c>
      <c r="C1075" s="7" t="s">
        <v>125</v>
      </c>
      <c r="D1075" s="7"/>
      <c r="E1075" s="7" t="s">
        <v>10</v>
      </c>
      <c r="F1075" s="7" t="s">
        <v>149</v>
      </c>
      <c r="G1075" s="11">
        <v>37247.725815615457</v>
      </c>
    </row>
    <row r="1076" spans="1:7" hidden="1">
      <c r="A1076" t="str">
        <f t="shared" si="16"/>
        <v>USADO-07UA-Standard-X4</v>
      </c>
      <c r="B1076" s="7" t="s">
        <v>39</v>
      </c>
      <c r="C1076" s="7" t="s">
        <v>130</v>
      </c>
      <c r="D1076" s="7" t="s">
        <v>264</v>
      </c>
      <c r="E1076" s="7" t="s">
        <v>33</v>
      </c>
      <c r="F1076" s="7" t="s">
        <v>149</v>
      </c>
      <c r="G1076" s="11">
        <v>26531.442750333979</v>
      </c>
    </row>
    <row r="1077" spans="1:7" hidden="1">
      <c r="A1077" t="str">
        <f t="shared" si="16"/>
        <v>USADO-07UB-Plus-X4</v>
      </c>
      <c r="B1077" s="7" t="s">
        <v>39</v>
      </c>
      <c r="C1077" s="7" t="s">
        <v>133</v>
      </c>
      <c r="D1077" s="7"/>
      <c r="E1077" s="7" t="s">
        <v>10</v>
      </c>
      <c r="F1077" s="7" t="s">
        <v>149</v>
      </c>
      <c r="G1077" s="11">
        <v>45371.359752199802</v>
      </c>
    </row>
    <row r="1078" spans="1:7" hidden="1">
      <c r="A1078" t="str">
        <f t="shared" si="16"/>
        <v>USADO-07US-Standard-X3M</v>
      </c>
      <c r="B1078" s="7" t="s">
        <v>39</v>
      </c>
      <c r="C1078" s="7" t="s">
        <v>34</v>
      </c>
      <c r="D1078" s="7" t="s">
        <v>254</v>
      </c>
      <c r="E1078" s="7" t="s">
        <v>33</v>
      </c>
      <c r="F1078" s="7" t="s">
        <v>144</v>
      </c>
      <c r="G1078" s="11">
        <v>19790.555015721438</v>
      </c>
    </row>
    <row r="1079" spans="1:7" hidden="1">
      <c r="A1079" t="str">
        <f t="shared" si="16"/>
        <v>USADO-07D7-Plus-X3M</v>
      </c>
      <c r="B1079" s="7" t="s">
        <v>39</v>
      </c>
      <c r="C1079" s="7" t="s">
        <v>42</v>
      </c>
      <c r="D1079" s="7"/>
      <c r="E1079" s="7" t="s">
        <v>10</v>
      </c>
      <c r="F1079" s="7" t="s">
        <v>144</v>
      </c>
      <c r="G1079" s="11">
        <v>31111.78954436558</v>
      </c>
    </row>
    <row r="1080" spans="1:7" hidden="1">
      <c r="A1080" t="str">
        <f t="shared" si="16"/>
        <v>USADO-07NG-Standard-X3M</v>
      </c>
      <c r="B1080" s="7" t="s">
        <v>39</v>
      </c>
      <c r="C1080" s="7" t="s">
        <v>49</v>
      </c>
      <c r="D1080" s="7" t="s">
        <v>255</v>
      </c>
      <c r="E1080" s="7" t="s">
        <v>33</v>
      </c>
      <c r="F1080" s="7" t="s">
        <v>144</v>
      </c>
      <c r="G1080" s="11">
        <v>23247.420520650947</v>
      </c>
    </row>
    <row r="1081" spans="1:7" hidden="1">
      <c r="A1081" t="str">
        <f t="shared" si="16"/>
        <v>USADO-07NM-Plus-X3M</v>
      </c>
      <c r="B1081" s="7" t="s">
        <v>39</v>
      </c>
      <c r="C1081" s="7" t="s">
        <v>53</v>
      </c>
      <c r="D1081" s="7"/>
      <c r="E1081" s="7" t="s">
        <v>10</v>
      </c>
      <c r="F1081" s="7" t="s">
        <v>144</v>
      </c>
      <c r="G1081" s="11">
        <v>38457.628742340785</v>
      </c>
    </row>
    <row r="1082" spans="1:7" hidden="1">
      <c r="A1082" t="str">
        <f t="shared" si="16"/>
        <v>USADO-07DA-Standard-X3M</v>
      </c>
      <c r="B1082" s="7" t="s">
        <v>39</v>
      </c>
      <c r="C1082" s="7" t="s">
        <v>58</v>
      </c>
      <c r="D1082" s="7" t="s">
        <v>256</v>
      </c>
      <c r="E1082" s="7" t="s">
        <v>33</v>
      </c>
      <c r="F1082" s="7" t="s">
        <v>144</v>
      </c>
      <c r="G1082" s="11">
        <v>34655.076686918328</v>
      </c>
    </row>
    <row r="1083" spans="1:7" hidden="1">
      <c r="A1083" t="str">
        <f t="shared" si="16"/>
        <v>USADO-07DB-Plus-X3M</v>
      </c>
      <c r="B1083" s="7" t="s">
        <v>39</v>
      </c>
      <c r="C1083" s="7" t="s">
        <v>62</v>
      </c>
      <c r="D1083" s="7"/>
      <c r="E1083" s="7" t="s">
        <v>10</v>
      </c>
      <c r="F1083" s="7" t="s">
        <v>144</v>
      </c>
      <c r="G1083" s="11">
        <v>52025.82584918911</v>
      </c>
    </row>
    <row r="1084" spans="1:7" hidden="1">
      <c r="A1084" t="str">
        <f t="shared" si="16"/>
        <v>USADO-07DD-Standard-X3M</v>
      </c>
      <c r="B1084" s="7" t="s">
        <v>39</v>
      </c>
      <c r="C1084" s="7" t="s">
        <v>67</v>
      </c>
      <c r="D1084" s="7" t="s">
        <v>257</v>
      </c>
      <c r="E1084" s="7" t="s">
        <v>33</v>
      </c>
      <c r="F1084" s="7" t="s">
        <v>144</v>
      </c>
      <c r="G1084" s="11">
        <v>24370.901809753039</v>
      </c>
    </row>
    <row r="1085" spans="1:7" hidden="1">
      <c r="A1085" t="str">
        <f t="shared" si="16"/>
        <v>USADO-07DE-Plus-X3M</v>
      </c>
      <c r="B1085" s="7" t="s">
        <v>39</v>
      </c>
      <c r="C1085" s="7" t="s">
        <v>71</v>
      </c>
      <c r="D1085" s="7"/>
      <c r="E1085" s="7" t="s">
        <v>10</v>
      </c>
      <c r="F1085" s="7" t="s">
        <v>144</v>
      </c>
      <c r="G1085" s="11">
        <v>42433.024073009721</v>
      </c>
    </row>
    <row r="1086" spans="1:7" hidden="1">
      <c r="A1086" t="str">
        <f t="shared" si="16"/>
        <v>USADO-07NX-Standard-X3M</v>
      </c>
      <c r="B1086" s="7" t="s">
        <v>39</v>
      </c>
      <c r="C1086" s="7" t="s">
        <v>76</v>
      </c>
      <c r="D1086" s="7" t="s">
        <v>258</v>
      </c>
      <c r="E1086" s="7" t="s">
        <v>33</v>
      </c>
      <c r="F1086" s="7" t="s">
        <v>144</v>
      </c>
      <c r="G1086" s="11">
        <v>32408.114108714144</v>
      </c>
    </row>
    <row r="1087" spans="1:7" hidden="1">
      <c r="A1087" t="str">
        <f t="shared" si="16"/>
        <v>USADO-07NY-Plus-X3M</v>
      </c>
      <c r="B1087" s="7" t="s">
        <v>39</v>
      </c>
      <c r="C1087" s="7" t="s">
        <v>80</v>
      </c>
      <c r="D1087" s="7"/>
      <c r="E1087" s="7" t="s">
        <v>10</v>
      </c>
      <c r="F1087" s="7" t="s">
        <v>144</v>
      </c>
      <c r="G1087" s="11">
        <v>51334.452748203206</v>
      </c>
    </row>
    <row r="1088" spans="1:7" hidden="1">
      <c r="A1088" t="str">
        <f t="shared" si="16"/>
        <v>USADO-07N1-Standard-X3M</v>
      </c>
      <c r="B1088" s="7" t="s">
        <v>39</v>
      </c>
      <c r="C1088" s="7" t="s">
        <v>85</v>
      </c>
      <c r="D1088" s="7" t="s">
        <v>259</v>
      </c>
      <c r="E1088" s="7" t="s">
        <v>33</v>
      </c>
      <c r="F1088" s="7" t="s">
        <v>144</v>
      </c>
      <c r="G1088" s="11">
        <v>38803.315292833737</v>
      </c>
    </row>
    <row r="1089" spans="1:7" hidden="1">
      <c r="A1089" t="str">
        <f t="shared" si="16"/>
        <v>USADO-07N2-Plus-X3M</v>
      </c>
      <c r="B1089" s="7" t="s">
        <v>39</v>
      </c>
      <c r="C1089" s="7" t="s">
        <v>89</v>
      </c>
      <c r="D1089" s="7"/>
      <c r="E1089" s="7" t="s">
        <v>10</v>
      </c>
      <c r="F1089" s="7" t="s">
        <v>144</v>
      </c>
      <c r="G1089" s="11">
        <v>60235.881423396691</v>
      </c>
    </row>
    <row r="1090" spans="1:7" hidden="1">
      <c r="A1090" t="str">
        <f t="shared" si="16"/>
        <v>USADO-07N4-Standard-X3M</v>
      </c>
      <c r="B1090" s="7" t="s">
        <v>39</v>
      </c>
      <c r="C1090" s="7" t="s">
        <v>94</v>
      </c>
      <c r="D1090" s="7" t="s">
        <v>260</v>
      </c>
      <c r="E1090" s="7" t="s">
        <v>33</v>
      </c>
      <c r="F1090" s="7" t="s">
        <v>144</v>
      </c>
      <c r="G1090" s="11">
        <v>40963.856233414677</v>
      </c>
    </row>
    <row r="1091" spans="1:7" hidden="1">
      <c r="A1091" t="str">
        <f t="shared" si="16"/>
        <v>USADO-07N5-Plus-X3M</v>
      </c>
      <c r="B1091" s="7" t="s">
        <v>39</v>
      </c>
      <c r="C1091" s="7" t="s">
        <v>98</v>
      </c>
      <c r="D1091" s="7"/>
      <c r="E1091" s="7" t="s">
        <v>10</v>
      </c>
      <c r="F1091" s="7" t="s">
        <v>144</v>
      </c>
      <c r="G1091" s="11">
        <v>69655.839924329601</v>
      </c>
    </row>
    <row r="1092" spans="1:7" hidden="1">
      <c r="A1092" t="str">
        <f t="shared" si="16"/>
        <v>USADO-07NW-Standard-X3M</v>
      </c>
      <c r="B1092" s="7" t="s">
        <v>39</v>
      </c>
      <c r="C1092" s="7" t="s">
        <v>103</v>
      </c>
      <c r="D1092" s="7" t="s">
        <v>261</v>
      </c>
      <c r="E1092" s="7" t="s">
        <v>33</v>
      </c>
      <c r="F1092" s="7" t="s">
        <v>144</v>
      </c>
      <c r="G1092" s="11">
        <v>25840.069649348079</v>
      </c>
    </row>
    <row r="1093" spans="1:7" hidden="1">
      <c r="A1093" t="str">
        <f t="shared" si="16"/>
        <v>USADO-07NK-Plus-X3M</v>
      </c>
      <c r="B1093" s="7" t="s">
        <v>39</v>
      </c>
      <c r="C1093" s="7" t="s">
        <v>107</v>
      </c>
      <c r="D1093" s="7"/>
      <c r="E1093" s="7" t="s">
        <v>10</v>
      </c>
      <c r="F1093" s="7" t="s">
        <v>144</v>
      </c>
      <c r="G1093" s="11">
        <v>45630.624665069518</v>
      </c>
    </row>
    <row r="1094" spans="1:7" hidden="1">
      <c r="A1094" t="str">
        <f t="shared" si="16"/>
        <v>USADO-07N7-Standard-X3M</v>
      </c>
      <c r="B1094" s="7" t="s">
        <v>39</v>
      </c>
      <c r="C1094" s="7" t="s">
        <v>112</v>
      </c>
      <c r="D1094" s="7" t="s">
        <v>262</v>
      </c>
      <c r="E1094" s="7" t="s">
        <v>33</v>
      </c>
      <c r="F1094" s="7" t="s">
        <v>144</v>
      </c>
      <c r="G1094" s="11">
        <v>38198.363829471076</v>
      </c>
    </row>
    <row r="1095" spans="1:7" hidden="1">
      <c r="A1095" t="str">
        <f t="shared" si="16"/>
        <v>USADO-07N8-Plus-X3M</v>
      </c>
      <c r="B1095" s="7" t="s">
        <v>39</v>
      </c>
      <c r="C1095" s="7" t="s">
        <v>116</v>
      </c>
      <c r="D1095" s="7"/>
      <c r="E1095" s="7" t="s">
        <v>10</v>
      </c>
      <c r="F1095" s="7" t="s">
        <v>144</v>
      </c>
      <c r="G1095" s="11">
        <v>60927.254524382595</v>
      </c>
    </row>
    <row r="1096" spans="1:7" hidden="1">
      <c r="A1096" t="str">
        <f t="shared" si="16"/>
        <v>USADO-07NH-Standard-X3M</v>
      </c>
      <c r="B1096" s="7" t="s">
        <v>39</v>
      </c>
      <c r="C1096" s="7" t="s">
        <v>121</v>
      </c>
      <c r="D1096" s="7" t="s">
        <v>263</v>
      </c>
      <c r="E1096" s="7" t="s">
        <v>33</v>
      </c>
      <c r="F1096" s="7" t="s">
        <v>144</v>
      </c>
      <c r="G1096" s="11">
        <v>40877.434595791441</v>
      </c>
    </row>
    <row r="1097" spans="1:7" hidden="1">
      <c r="A1097" t="str">
        <f t="shared" si="16"/>
        <v>USADO-07NA-Plus-X3M</v>
      </c>
      <c r="B1097" s="7" t="s">
        <v>39</v>
      </c>
      <c r="C1097" s="7" t="s">
        <v>125</v>
      </c>
      <c r="D1097" s="7"/>
      <c r="E1097" s="7" t="s">
        <v>10</v>
      </c>
      <c r="F1097" s="7" t="s">
        <v>144</v>
      </c>
      <c r="G1097" s="11">
        <v>62742.108914470584</v>
      </c>
    </row>
    <row r="1098" spans="1:7" hidden="1">
      <c r="A1098" t="str">
        <f t="shared" si="16"/>
        <v>USADO-07UA-Standard-X3M</v>
      </c>
      <c r="B1098" s="7" t="s">
        <v>39</v>
      </c>
      <c r="C1098" s="7" t="s">
        <v>130</v>
      </c>
      <c r="D1098" s="7" t="s">
        <v>264</v>
      </c>
      <c r="E1098" s="7" t="s">
        <v>33</v>
      </c>
      <c r="F1098" s="7" t="s">
        <v>144</v>
      </c>
      <c r="G1098" s="11">
        <v>46926.949229418082</v>
      </c>
    </row>
    <row r="1099" spans="1:7" hidden="1">
      <c r="A1099" t="str">
        <f t="shared" si="16"/>
        <v>USADO-07UB-Plus-X3M</v>
      </c>
      <c r="B1099" s="7" t="s">
        <v>39</v>
      </c>
      <c r="C1099" s="7" t="s">
        <v>133</v>
      </c>
      <c r="D1099" s="7"/>
      <c r="E1099" s="7" t="s">
        <v>10</v>
      </c>
      <c r="F1099" s="7" t="s">
        <v>144</v>
      </c>
      <c r="G1099" s="11">
        <v>81236.339365843465</v>
      </c>
    </row>
    <row r="1100" spans="1:7" hidden="1">
      <c r="A1100" t="str">
        <f t="shared" si="16"/>
        <v>USADO-07US-Standard-X4M</v>
      </c>
      <c r="B1100" s="7" t="s">
        <v>39</v>
      </c>
      <c r="C1100" s="7" t="s">
        <v>34</v>
      </c>
      <c r="D1100" s="7" t="s">
        <v>254</v>
      </c>
      <c r="E1100" s="7" t="s">
        <v>33</v>
      </c>
      <c r="F1100" s="7" t="s">
        <v>153</v>
      </c>
      <c r="G1100" s="11">
        <v>19790.555015721438</v>
      </c>
    </row>
    <row r="1101" spans="1:7" hidden="1">
      <c r="A1101" t="str">
        <f t="shared" si="16"/>
        <v>USADO-07D7-Plus-X4M</v>
      </c>
      <c r="B1101" s="7" t="s">
        <v>39</v>
      </c>
      <c r="C1101" s="7" t="s">
        <v>42</v>
      </c>
      <c r="D1101" s="7"/>
      <c r="E1101" s="7" t="s">
        <v>10</v>
      </c>
      <c r="F1101" s="7" t="s">
        <v>153</v>
      </c>
      <c r="G1101" s="11">
        <v>31111.78954436558</v>
      </c>
    </row>
    <row r="1102" spans="1:7" hidden="1">
      <c r="A1102" t="str">
        <f t="shared" ref="A1102:A1165" si="17">B1102&amp;"-"&amp;C1102&amp;"-"&amp;E1102&amp;"-"&amp;F1102</f>
        <v>USADO-07NG-Standard-X4M</v>
      </c>
      <c r="B1102" s="7" t="s">
        <v>39</v>
      </c>
      <c r="C1102" s="7" t="s">
        <v>49</v>
      </c>
      <c r="D1102" s="7" t="s">
        <v>255</v>
      </c>
      <c r="E1102" s="7" t="s">
        <v>33</v>
      </c>
      <c r="F1102" s="7" t="s">
        <v>153</v>
      </c>
      <c r="G1102" s="11">
        <v>23247.420520650947</v>
      </c>
    </row>
    <row r="1103" spans="1:7" hidden="1">
      <c r="A1103" t="str">
        <f t="shared" si="17"/>
        <v>USADO-07NM-Plus-X4M</v>
      </c>
      <c r="B1103" s="7" t="s">
        <v>39</v>
      </c>
      <c r="C1103" s="7" t="s">
        <v>53</v>
      </c>
      <c r="D1103" s="7"/>
      <c r="E1103" s="7" t="s">
        <v>10</v>
      </c>
      <c r="F1103" s="7" t="s">
        <v>153</v>
      </c>
      <c r="G1103" s="11">
        <v>38457.628742340785</v>
      </c>
    </row>
    <row r="1104" spans="1:7" hidden="1">
      <c r="A1104" t="str">
        <f t="shared" si="17"/>
        <v>USADO-07DA-Standard-X4M</v>
      </c>
      <c r="B1104" s="7" t="s">
        <v>39</v>
      </c>
      <c r="C1104" s="7" t="s">
        <v>58</v>
      </c>
      <c r="D1104" s="7" t="s">
        <v>256</v>
      </c>
      <c r="E1104" s="7" t="s">
        <v>33</v>
      </c>
      <c r="F1104" s="7" t="s">
        <v>153</v>
      </c>
      <c r="G1104" s="11">
        <v>34655.076686918328</v>
      </c>
    </row>
    <row r="1105" spans="1:7" hidden="1">
      <c r="A1105" t="str">
        <f t="shared" si="17"/>
        <v>USADO-07DB-Plus-X4M</v>
      </c>
      <c r="B1105" s="7" t="s">
        <v>39</v>
      </c>
      <c r="C1105" s="7" t="s">
        <v>62</v>
      </c>
      <c r="D1105" s="7"/>
      <c r="E1105" s="7" t="s">
        <v>10</v>
      </c>
      <c r="F1105" s="7" t="s">
        <v>153</v>
      </c>
      <c r="G1105" s="11">
        <v>52025.82584918911</v>
      </c>
    </row>
    <row r="1106" spans="1:7" hidden="1">
      <c r="A1106" t="str">
        <f t="shared" si="17"/>
        <v>USADO-07DD-Standard-X4M</v>
      </c>
      <c r="B1106" s="7" t="s">
        <v>39</v>
      </c>
      <c r="C1106" s="7" t="s">
        <v>67</v>
      </c>
      <c r="D1106" s="7" t="s">
        <v>257</v>
      </c>
      <c r="E1106" s="7" t="s">
        <v>33</v>
      </c>
      <c r="F1106" s="7" t="s">
        <v>153</v>
      </c>
      <c r="G1106" s="11">
        <v>24370.901809753039</v>
      </c>
    </row>
    <row r="1107" spans="1:7" hidden="1">
      <c r="A1107" t="str">
        <f t="shared" si="17"/>
        <v>USADO-07DE-Plus-X4M</v>
      </c>
      <c r="B1107" s="7" t="s">
        <v>39</v>
      </c>
      <c r="C1107" s="7" t="s">
        <v>71</v>
      </c>
      <c r="D1107" s="7"/>
      <c r="E1107" s="7" t="s">
        <v>10</v>
      </c>
      <c r="F1107" s="7" t="s">
        <v>153</v>
      </c>
      <c r="G1107" s="11">
        <v>42433.024073009721</v>
      </c>
    </row>
    <row r="1108" spans="1:7" hidden="1">
      <c r="A1108" t="str">
        <f t="shared" si="17"/>
        <v>USADO-07NX-Standard-X4M</v>
      </c>
      <c r="B1108" s="7" t="s">
        <v>39</v>
      </c>
      <c r="C1108" s="7" t="s">
        <v>76</v>
      </c>
      <c r="D1108" s="7" t="s">
        <v>258</v>
      </c>
      <c r="E1108" s="7" t="s">
        <v>33</v>
      </c>
      <c r="F1108" s="7" t="s">
        <v>153</v>
      </c>
      <c r="G1108" s="11">
        <v>32408.114108714144</v>
      </c>
    </row>
    <row r="1109" spans="1:7" hidden="1">
      <c r="A1109" t="str">
        <f t="shared" si="17"/>
        <v>USADO-07NY-Plus-X4M</v>
      </c>
      <c r="B1109" s="7" t="s">
        <v>39</v>
      </c>
      <c r="C1109" s="7" t="s">
        <v>80</v>
      </c>
      <c r="D1109" s="7"/>
      <c r="E1109" s="7" t="s">
        <v>10</v>
      </c>
      <c r="F1109" s="7" t="s">
        <v>153</v>
      </c>
      <c r="G1109" s="11">
        <v>51334.452748203206</v>
      </c>
    </row>
    <row r="1110" spans="1:7" hidden="1">
      <c r="A1110" t="str">
        <f t="shared" si="17"/>
        <v>USADO-07N1-Standard-X4M</v>
      </c>
      <c r="B1110" s="7" t="s">
        <v>39</v>
      </c>
      <c r="C1110" s="7" t="s">
        <v>85</v>
      </c>
      <c r="D1110" s="7" t="s">
        <v>259</v>
      </c>
      <c r="E1110" s="7" t="s">
        <v>33</v>
      </c>
      <c r="F1110" s="7" t="s">
        <v>153</v>
      </c>
      <c r="G1110" s="11">
        <v>38803.315292833737</v>
      </c>
    </row>
    <row r="1111" spans="1:7" hidden="1">
      <c r="A1111" t="str">
        <f t="shared" si="17"/>
        <v>USADO-07N2-Plus-X4M</v>
      </c>
      <c r="B1111" s="7" t="s">
        <v>39</v>
      </c>
      <c r="C1111" s="7" t="s">
        <v>89</v>
      </c>
      <c r="D1111" s="7"/>
      <c r="E1111" s="7" t="s">
        <v>10</v>
      </c>
      <c r="F1111" s="7" t="s">
        <v>153</v>
      </c>
      <c r="G1111" s="11">
        <v>60235.881423396691</v>
      </c>
    </row>
    <row r="1112" spans="1:7" hidden="1">
      <c r="A1112" t="str">
        <f t="shared" si="17"/>
        <v>USADO-07N4-Standard-X4M</v>
      </c>
      <c r="B1112" s="7" t="s">
        <v>39</v>
      </c>
      <c r="C1112" s="7" t="s">
        <v>94</v>
      </c>
      <c r="D1112" s="7" t="s">
        <v>260</v>
      </c>
      <c r="E1112" s="7" t="s">
        <v>33</v>
      </c>
      <c r="F1112" s="7" t="s">
        <v>153</v>
      </c>
      <c r="G1112" s="11">
        <v>40963.856233414677</v>
      </c>
    </row>
    <row r="1113" spans="1:7" hidden="1">
      <c r="A1113" t="str">
        <f t="shared" si="17"/>
        <v>USADO-07N5-Plus-X4M</v>
      </c>
      <c r="B1113" s="7" t="s">
        <v>39</v>
      </c>
      <c r="C1113" s="7" t="s">
        <v>98</v>
      </c>
      <c r="D1113" s="7"/>
      <c r="E1113" s="7" t="s">
        <v>10</v>
      </c>
      <c r="F1113" s="7" t="s">
        <v>153</v>
      </c>
      <c r="G1113" s="11">
        <v>69655.839924329601</v>
      </c>
    </row>
    <row r="1114" spans="1:7" hidden="1">
      <c r="A1114" t="str">
        <f t="shared" si="17"/>
        <v>USADO-07NW-Standard-X4M</v>
      </c>
      <c r="B1114" s="7" t="s">
        <v>39</v>
      </c>
      <c r="C1114" s="7" t="s">
        <v>103</v>
      </c>
      <c r="D1114" s="7" t="s">
        <v>261</v>
      </c>
      <c r="E1114" s="7" t="s">
        <v>33</v>
      </c>
      <c r="F1114" s="7" t="s">
        <v>153</v>
      </c>
      <c r="G1114" s="11">
        <v>25840.069649348079</v>
      </c>
    </row>
    <row r="1115" spans="1:7" hidden="1">
      <c r="A1115" t="str">
        <f t="shared" si="17"/>
        <v>USADO-07NK-Plus-X4M</v>
      </c>
      <c r="B1115" s="7" t="s">
        <v>39</v>
      </c>
      <c r="C1115" s="7" t="s">
        <v>107</v>
      </c>
      <c r="D1115" s="7"/>
      <c r="E1115" s="7" t="s">
        <v>10</v>
      </c>
      <c r="F1115" s="7" t="s">
        <v>153</v>
      </c>
      <c r="G1115" s="11">
        <v>45630.624665069518</v>
      </c>
    </row>
    <row r="1116" spans="1:7" hidden="1">
      <c r="A1116" t="str">
        <f t="shared" si="17"/>
        <v>USADO-07N7-Standard-X4M</v>
      </c>
      <c r="B1116" s="7" t="s">
        <v>39</v>
      </c>
      <c r="C1116" s="7" t="s">
        <v>112</v>
      </c>
      <c r="D1116" s="7" t="s">
        <v>262</v>
      </c>
      <c r="E1116" s="7" t="s">
        <v>33</v>
      </c>
      <c r="F1116" s="7" t="s">
        <v>153</v>
      </c>
      <c r="G1116" s="11">
        <v>38198.363829471076</v>
      </c>
    </row>
    <row r="1117" spans="1:7" hidden="1">
      <c r="A1117" t="str">
        <f t="shared" si="17"/>
        <v>USADO-07N8-Plus-X4M</v>
      </c>
      <c r="B1117" s="7" t="s">
        <v>39</v>
      </c>
      <c r="C1117" s="7" t="s">
        <v>116</v>
      </c>
      <c r="D1117" s="7"/>
      <c r="E1117" s="7" t="s">
        <v>10</v>
      </c>
      <c r="F1117" s="7" t="s">
        <v>153</v>
      </c>
      <c r="G1117" s="11">
        <v>60927.254524382595</v>
      </c>
    </row>
    <row r="1118" spans="1:7" hidden="1">
      <c r="A1118" t="str">
        <f t="shared" si="17"/>
        <v>USADO-07NH-Standard-X4M</v>
      </c>
      <c r="B1118" s="7" t="s">
        <v>39</v>
      </c>
      <c r="C1118" s="7" t="s">
        <v>121</v>
      </c>
      <c r="D1118" s="7" t="s">
        <v>263</v>
      </c>
      <c r="E1118" s="7" t="s">
        <v>33</v>
      </c>
      <c r="F1118" s="7" t="s">
        <v>153</v>
      </c>
      <c r="G1118" s="11">
        <v>40877.434595791441</v>
      </c>
    </row>
    <row r="1119" spans="1:7" hidden="1">
      <c r="A1119" t="str">
        <f t="shared" si="17"/>
        <v>USADO-07NA-Plus-X4M</v>
      </c>
      <c r="B1119" s="7" t="s">
        <v>39</v>
      </c>
      <c r="C1119" s="7" t="s">
        <v>125</v>
      </c>
      <c r="D1119" s="7"/>
      <c r="E1119" s="7" t="s">
        <v>10</v>
      </c>
      <c r="F1119" s="7" t="s">
        <v>153</v>
      </c>
      <c r="G1119" s="11">
        <v>62742.108914470584</v>
      </c>
    </row>
    <row r="1120" spans="1:7" hidden="1">
      <c r="A1120" t="str">
        <f t="shared" si="17"/>
        <v>USADO-07UA-Standard-X4M</v>
      </c>
      <c r="B1120" s="7" t="s">
        <v>39</v>
      </c>
      <c r="C1120" s="7" t="s">
        <v>130</v>
      </c>
      <c r="D1120" s="7" t="s">
        <v>264</v>
      </c>
      <c r="E1120" s="7" t="s">
        <v>33</v>
      </c>
      <c r="F1120" s="7" t="s">
        <v>153</v>
      </c>
      <c r="G1120" s="11">
        <v>46926.949229418082</v>
      </c>
    </row>
    <row r="1121" spans="1:7" hidden="1">
      <c r="A1121" t="str">
        <f t="shared" si="17"/>
        <v>USADO-07UB-Plus-X4M</v>
      </c>
      <c r="B1121" s="7" t="s">
        <v>39</v>
      </c>
      <c r="C1121" s="7" t="s">
        <v>133</v>
      </c>
      <c r="D1121" s="7"/>
      <c r="E1121" s="7" t="s">
        <v>10</v>
      </c>
      <c r="F1121" s="7" t="s">
        <v>153</v>
      </c>
      <c r="G1121" s="11">
        <v>81236.339365843465</v>
      </c>
    </row>
    <row r="1122" spans="1:7" hidden="1">
      <c r="A1122" t="str">
        <f t="shared" si="17"/>
        <v>USADO-07US-Standard-X5</v>
      </c>
      <c r="B1122" s="7" t="s">
        <v>39</v>
      </c>
      <c r="C1122" s="7" t="s">
        <v>34</v>
      </c>
      <c r="D1122" s="7" t="s">
        <v>254</v>
      </c>
      <c r="E1122" s="7" t="s">
        <v>33</v>
      </c>
      <c r="F1122" s="7" t="s">
        <v>156</v>
      </c>
      <c r="G1122" s="11">
        <v>12531.13745536947</v>
      </c>
    </row>
    <row r="1123" spans="1:7" hidden="1">
      <c r="A1123" t="str">
        <f t="shared" si="17"/>
        <v>USADO-07D7-Plus-X5</v>
      </c>
      <c r="B1123" s="7" t="s">
        <v>39</v>
      </c>
      <c r="C1123" s="7" t="s">
        <v>42</v>
      </c>
      <c r="D1123" s="7"/>
      <c r="E1123" s="7" t="s">
        <v>10</v>
      </c>
      <c r="F1123" s="7" t="s">
        <v>156</v>
      </c>
      <c r="G1123" s="11">
        <v>17716.435712763734</v>
      </c>
    </row>
    <row r="1124" spans="1:7" hidden="1">
      <c r="A1124" t="str">
        <f t="shared" si="17"/>
        <v>USADO-07NG-Standard-X5</v>
      </c>
      <c r="B1124" s="7" t="s">
        <v>39</v>
      </c>
      <c r="C1124" s="7" t="s">
        <v>49</v>
      </c>
      <c r="D1124" s="7" t="s">
        <v>255</v>
      </c>
      <c r="E1124" s="7" t="s">
        <v>33</v>
      </c>
      <c r="F1124" s="7" t="s">
        <v>156</v>
      </c>
      <c r="G1124" s="11">
        <v>18148.543900879922</v>
      </c>
    </row>
    <row r="1125" spans="1:7" hidden="1">
      <c r="A1125" t="str">
        <f t="shared" si="17"/>
        <v>USADO-07NM-Plus-X5</v>
      </c>
      <c r="B1125" s="7" t="s">
        <v>39</v>
      </c>
      <c r="C1125" s="7" t="s">
        <v>53</v>
      </c>
      <c r="D1125" s="7"/>
      <c r="E1125" s="7" t="s">
        <v>10</v>
      </c>
      <c r="F1125" s="7" t="s">
        <v>156</v>
      </c>
      <c r="G1125" s="11">
        <v>31803.16264535148</v>
      </c>
    </row>
    <row r="1126" spans="1:7" hidden="1">
      <c r="A1126" t="str">
        <f t="shared" si="17"/>
        <v>USADO-07DA-Standard-X5</v>
      </c>
      <c r="B1126" s="7" t="s">
        <v>39</v>
      </c>
      <c r="C1126" s="7" t="s">
        <v>58</v>
      </c>
      <c r="D1126" s="7" t="s">
        <v>256</v>
      </c>
      <c r="E1126" s="7" t="s">
        <v>33</v>
      </c>
      <c r="F1126" s="7" t="s">
        <v>156</v>
      </c>
      <c r="G1126" s="11">
        <v>25321.539823608651</v>
      </c>
    </row>
    <row r="1127" spans="1:7" hidden="1">
      <c r="A1127" t="str">
        <f t="shared" si="17"/>
        <v>USADO-07DB-Plus-X5</v>
      </c>
      <c r="B1127" s="7" t="s">
        <v>39</v>
      </c>
      <c r="C1127" s="7" t="s">
        <v>62</v>
      </c>
      <c r="D1127" s="7"/>
      <c r="E1127" s="7" t="s">
        <v>10</v>
      </c>
      <c r="F1127" s="7" t="s">
        <v>156</v>
      </c>
      <c r="G1127" s="11">
        <v>45976.311215562469</v>
      </c>
    </row>
    <row r="1128" spans="1:7" hidden="1">
      <c r="A1128" t="str">
        <f t="shared" si="17"/>
        <v>USADO-07DD-Standard-X5</v>
      </c>
      <c r="B1128" s="7" t="s">
        <v>39</v>
      </c>
      <c r="C1128" s="7" t="s">
        <v>67</v>
      </c>
      <c r="D1128" s="7" t="s">
        <v>257</v>
      </c>
      <c r="E1128" s="7" t="s">
        <v>33</v>
      </c>
      <c r="F1128" s="7" t="s">
        <v>156</v>
      </c>
      <c r="G1128" s="11">
        <v>18148.543900879922</v>
      </c>
    </row>
    <row r="1129" spans="1:7" hidden="1">
      <c r="A1129" t="str">
        <f t="shared" si="17"/>
        <v>USADO-07DE-Plus-X5</v>
      </c>
      <c r="B1129" s="7" t="s">
        <v>39</v>
      </c>
      <c r="C1129" s="7" t="s">
        <v>71</v>
      </c>
      <c r="D1129" s="7"/>
      <c r="E1129" s="7" t="s">
        <v>10</v>
      </c>
      <c r="F1129" s="7" t="s">
        <v>156</v>
      </c>
      <c r="G1129" s="11">
        <v>32062.427558221196</v>
      </c>
    </row>
    <row r="1130" spans="1:7" hidden="1">
      <c r="A1130" t="str">
        <f t="shared" si="17"/>
        <v>USADO-07NX-Standard-X5</v>
      </c>
      <c r="B1130" s="7" t="s">
        <v>39</v>
      </c>
      <c r="C1130" s="7" t="s">
        <v>76</v>
      </c>
      <c r="D1130" s="7" t="s">
        <v>258</v>
      </c>
      <c r="E1130" s="7" t="s">
        <v>33</v>
      </c>
      <c r="F1130" s="7" t="s">
        <v>156</v>
      </c>
      <c r="G1130" s="11">
        <v>20914.03630482353</v>
      </c>
    </row>
    <row r="1131" spans="1:7" hidden="1">
      <c r="A1131" t="str">
        <f t="shared" si="17"/>
        <v>USADO-07NY-Plus-X5</v>
      </c>
      <c r="B1131" s="7" t="s">
        <v>39</v>
      </c>
      <c r="C1131" s="7" t="s">
        <v>80</v>
      </c>
      <c r="D1131" s="7"/>
      <c r="E1131" s="7" t="s">
        <v>10</v>
      </c>
      <c r="F1131" s="7" t="s">
        <v>156</v>
      </c>
      <c r="G1131" s="11">
        <v>37506.990728485172</v>
      </c>
    </row>
    <row r="1132" spans="1:7" hidden="1">
      <c r="A1132" t="str">
        <f t="shared" si="17"/>
        <v>USADO-07N1-Standard-X5</v>
      </c>
      <c r="B1132" s="7" t="s">
        <v>39</v>
      </c>
      <c r="C1132" s="7" t="s">
        <v>85</v>
      </c>
      <c r="D1132" s="7" t="s">
        <v>259</v>
      </c>
      <c r="E1132" s="7" t="s">
        <v>33</v>
      </c>
      <c r="F1132" s="7" t="s">
        <v>156</v>
      </c>
      <c r="G1132" s="11">
        <v>25407.961461231891</v>
      </c>
    </row>
    <row r="1133" spans="1:7" hidden="1">
      <c r="A1133" t="str">
        <f t="shared" si="17"/>
        <v>USADO-07N2-Plus-X5</v>
      </c>
      <c r="B1133" s="7" t="s">
        <v>39</v>
      </c>
      <c r="C1133" s="7" t="s">
        <v>89</v>
      </c>
      <c r="D1133" s="7"/>
      <c r="E1133" s="7" t="s">
        <v>10</v>
      </c>
      <c r="F1133" s="7" t="s">
        <v>156</v>
      </c>
      <c r="G1133" s="11">
        <v>46408.419403678658</v>
      </c>
    </row>
    <row r="1134" spans="1:7" hidden="1">
      <c r="A1134" t="str">
        <f t="shared" si="17"/>
        <v>USADO-07N4-Standard-X5</v>
      </c>
      <c r="B1134" s="7" t="s">
        <v>39</v>
      </c>
      <c r="C1134" s="7" t="s">
        <v>94</v>
      </c>
      <c r="D1134" s="7" t="s">
        <v>260</v>
      </c>
      <c r="E1134" s="7" t="s">
        <v>33</v>
      </c>
      <c r="F1134" s="7" t="s">
        <v>156</v>
      </c>
      <c r="G1134" s="11">
        <v>31025.367906742344</v>
      </c>
    </row>
    <row r="1135" spans="1:7" hidden="1">
      <c r="A1135" t="str">
        <f t="shared" si="17"/>
        <v>USADO-07N5-Plus-X5</v>
      </c>
      <c r="B1135" s="7" t="s">
        <v>39</v>
      </c>
      <c r="C1135" s="7" t="s">
        <v>98</v>
      </c>
      <c r="D1135" s="7"/>
      <c r="E1135" s="7" t="s">
        <v>10</v>
      </c>
      <c r="F1135" s="7" t="s">
        <v>156</v>
      </c>
      <c r="G1135" s="11">
        <v>54445.631702639766</v>
      </c>
    </row>
    <row r="1136" spans="1:7" hidden="1">
      <c r="A1136" t="str">
        <f t="shared" si="17"/>
        <v>USADO-07NW-Standard-X5</v>
      </c>
      <c r="B1136" s="7" t="s">
        <v>39</v>
      </c>
      <c r="C1136" s="7" t="s">
        <v>103</v>
      </c>
      <c r="D1136" s="7" t="s">
        <v>261</v>
      </c>
      <c r="E1136" s="7" t="s">
        <v>33</v>
      </c>
      <c r="F1136" s="7" t="s">
        <v>156</v>
      </c>
      <c r="G1136" s="11">
        <v>19358.44682760525</v>
      </c>
    </row>
    <row r="1137" spans="1:7" hidden="1">
      <c r="A1137" t="str">
        <f t="shared" si="17"/>
        <v>USADO-07NK-Plus-X5</v>
      </c>
      <c r="B1137" s="7" t="s">
        <v>39</v>
      </c>
      <c r="C1137" s="7" t="s">
        <v>107</v>
      </c>
      <c r="D1137" s="7"/>
      <c r="E1137" s="7" t="s">
        <v>10</v>
      </c>
      <c r="F1137" s="7" t="s">
        <v>156</v>
      </c>
      <c r="G1137" s="11">
        <v>33013.065572076812</v>
      </c>
    </row>
    <row r="1138" spans="1:7" hidden="1">
      <c r="A1138" t="str">
        <f t="shared" si="17"/>
        <v>USADO-07N7-Standard-X5</v>
      </c>
      <c r="B1138" s="7" t="s">
        <v>39</v>
      </c>
      <c r="C1138" s="7" t="s">
        <v>112</v>
      </c>
      <c r="D1138" s="7" t="s">
        <v>262</v>
      </c>
      <c r="E1138" s="7" t="s">
        <v>33</v>
      </c>
      <c r="F1138" s="7" t="s">
        <v>156</v>
      </c>
      <c r="G1138" s="11">
        <v>22037.517593925619</v>
      </c>
    </row>
    <row r="1139" spans="1:7" hidden="1">
      <c r="A1139" t="str">
        <f t="shared" si="17"/>
        <v>USADO-07N8-Plus-X5</v>
      </c>
      <c r="B1139" s="7" t="s">
        <v>39</v>
      </c>
      <c r="C1139" s="7" t="s">
        <v>116</v>
      </c>
      <c r="D1139" s="7"/>
      <c r="E1139" s="7" t="s">
        <v>10</v>
      </c>
      <c r="F1139" s="7" t="s">
        <v>156</v>
      </c>
      <c r="G1139" s="11">
        <v>38371.207104717549</v>
      </c>
    </row>
    <row r="1140" spans="1:7" hidden="1">
      <c r="A1140" t="str">
        <f t="shared" si="17"/>
        <v>USADO-07NH-Standard-X5</v>
      </c>
      <c r="B1140" s="7" t="s">
        <v>39</v>
      </c>
      <c r="C1140" s="7" t="s">
        <v>121</v>
      </c>
      <c r="D1140" s="7" t="s">
        <v>263</v>
      </c>
      <c r="E1140" s="7" t="s">
        <v>33</v>
      </c>
      <c r="F1140" s="7" t="s">
        <v>156</v>
      </c>
      <c r="G1140" s="11">
        <v>25580.804736478367</v>
      </c>
    </row>
    <row r="1141" spans="1:7" hidden="1">
      <c r="A1141" t="str">
        <f t="shared" si="17"/>
        <v>USADO-07NA-Plus-X5</v>
      </c>
      <c r="B1141" s="7" t="s">
        <v>39</v>
      </c>
      <c r="C1141" s="7" t="s">
        <v>125</v>
      </c>
      <c r="D1141" s="7"/>
      <c r="E1141" s="7" t="s">
        <v>10</v>
      </c>
      <c r="F1141" s="7" t="s">
        <v>156</v>
      </c>
      <c r="G1141" s="11">
        <v>46754.105954171609</v>
      </c>
    </row>
    <row r="1142" spans="1:7" hidden="1">
      <c r="A1142" t="str">
        <f t="shared" si="17"/>
        <v>USADO-07UA-Standard-X5</v>
      </c>
      <c r="B1142" s="7" t="s">
        <v>39</v>
      </c>
      <c r="C1142" s="7" t="s">
        <v>130</v>
      </c>
      <c r="D1142" s="7" t="s">
        <v>264</v>
      </c>
      <c r="E1142" s="7" t="s">
        <v>33</v>
      </c>
      <c r="F1142" s="7" t="s">
        <v>156</v>
      </c>
      <c r="G1142" s="11">
        <v>32494.535746337384</v>
      </c>
    </row>
    <row r="1143" spans="1:7" hidden="1">
      <c r="A1143" t="str">
        <f t="shared" si="17"/>
        <v>USADO-07UB-Plus-X5</v>
      </c>
      <c r="B1143" s="7" t="s">
        <v>39</v>
      </c>
      <c r="C1143" s="7" t="s">
        <v>133</v>
      </c>
      <c r="D1143" s="7"/>
      <c r="E1143" s="7" t="s">
        <v>10</v>
      </c>
      <c r="F1143" s="7" t="s">
        <v>156</v>
      </c>
      <c r="G1143" s="11">
        <v>56001.221179858047</v>
      </c>
    </row>
    <row r="1144" spans="1:7">
      <c r="A1144" t="str">
        <f t="shared" si="17"/>
        <v>USADO-07US-Standard-X6</v>
      </c>
      <c r="B1144" s="7" t="s">
        <v>39</v>
      </c>
      <c r="C1144" s="7" t="s">
        <v>34</v>
      </c>
      <c r="D1144" s="7" t="s">
        <v>254</v>
      </c>
      <c r="E1144" s="7" t="s">
        <v>33</v>
      </c>
      <c r="F1144" s="7" t="s">
        <v>162</v>
      </c>
      <c r="G1144" s="11">
        <v>12531.13745536947</v>
      </c>
    </row>
    <row r="1145" spans="1:7" hidden="1">
      <c r="A1145" t="str">
        <f t="shared" si="17"/>
        <v>USADO-07D7-Plus-X6</v>
      </c>
      <c r="B1145" s="7" t="s">
        <v>39</v>
      </c>
      <c r="C1145" s="7" t="s">
        <v>42</v>
      </c>
      <c r="D1145" s="7"/>
      <c r="E1145" s="7" t="s">
        <v>10</v>
      </c>
      <c r="F1145" s="7" t="s">
        <v>162</v>
      </c>
      <c r="G1145" s="11">
        <v>17716.435712763734</v>
      </c>
    </row>
    <row r="1146" spans="1:7">
      <c r="A1146" t="str">
        <f t="shared" si="17"/>
        <v>USADO-07NG-Standard-X6</v>
      </c>
      <c r="B1146" s="7" t="s">
        <v>39</v>
      </c>
      <c r="C1146" s="7" t="s">
        <v>49</v>
      </c>
      <c r="D1146" s="7" t="s">
        <v>255</v>
      </c>
      <c r="E1146" s="7" t="s">
        <v>33</v>
      </c>
      <c r="F1146" s="7" t="s">
        <v>162</v>
      </c>
      <c r="G1146" s="11">
        <v>18148.543900879922</v>
      </c>
    </row>
    <row r="1147" spans="1:7" hidden="1">
      <c r="A1147" t="str">
        <f t="shared" si="17"/>
        <v>USADO-07NM-Plus-X6</v>
      </c>
      <c r="B1147" s="7" t="s">
        <v>39</v>
      </c>
      <c r="C1147" s="7" t="s">
        <v>53</v>
      </c>
      <c r="D1147" s="7"/>
      <c r="E1147" s="7" t="s">
        <v>10</v>
      </c>
      <c r="F1147" s="7" t="s">
        <v>162</v>
      </c>
      <c r="G1147" s="11">
        <v>31803.16264535148</v>
      </c>
    </row>
    <row r="1148" spans="1:7">
      <c r="A1148" t="str">
        <f t="shared" si="17"/>
        <v>USADO-07DA-Standard-X6</v>
      </c>
      <c r="B1148" s="7" t="s">
        <v>39</v>
      </c>
      <c r="C1148" s="7" t="s">
        <v>58</v>
      </c>
      <c r="D1148" s="7" t="s">
        <v>256</v>
      </c>
      <c r="E1148" s="7" t="s">
        <v>33</v>
      </c>
      <c r="F1148" s="7" t="s">
        <v>162</v>
      </c>
      <c r="G1148" s="11">
        <v>25321.539823608651</v>
      </c>
    </row>
    <row r="1149" spans="1:7" hidden="1">
      <c r="A1149" t="str">
        <f t="shared" si="17"/>
        <v>USADO-07DB-Plus-X6</v>
      </c>
      <c r="B1149" s="7" t="s">
        <v>39</v>
      </c>
      <c r="C1149" s="7" t="s">
        <v>62</v>
      </c>
      <c r="D1149" s="7"/>
      <c r="E1149" s="7" t="s">
        <v>10</v>
      </c>
      <c r="F1149" s="7" t="s">
        <v>162</v>
      </c>
      <c r="G1149" s="11">
        <v>45976.311215562469</v>
      </c>
    </row>
    <row r="1150" spans="1:7">
      <c r="A1150" t="str">
        <f t="shared" si="17"/>
        <v>USADO-07DD-Standard-X6</v>
      </c>
      <c r="B1150" s="7" t="s">
        <v>39</v>
      </c>
      <c r="C1150" s="7" t="s">
        <v>67</v>
      </c>
      <c r="D1150" s="7" t="s">
        <v>257</v>
      </c>
      <c r="E1150" s="7" t="s">
        <v>33</v>
      </c>
      <c r="F1150" s="7" t="s">
        <v>162</v>
      </c>
      <c r="G1150" s="11">
        <v>18148.543900879922</v>
      </c>
    </row>
    <row r="1151" spans="1:7" hidden="1">
      <c r="A1151" t="str">
        <f t="shared" si="17"/>
        <v>USADO-07DE-Plus-X6</v>
      </c>
      <c r="B1151" s="7" t="s">
        <v>39</v>
      </c>
      <c r="C1151" s="7" t="s">
        <v>71</v>
      </c>
      <c r="D1151" s="7"/>
      <c r="E1151" s="7" t="s">
        <v>10</v>
      </c>
      <c r="F1151" s="7" t="s">
        <v>162</v>
      </c>
      <c r="G1151" s="11">
        <v>32062.427558221196</v>
      </c>
    </row>
    <row r="1152" spans="1:7">
      <c r="A1152" t="str">
        <f t="shared" si="17"/>
        <v>USADO-07NX-Standard-X6</v>
      </c>
      <c r="B1152" s="7" t="s">
        <v>39</v>
      </c>
      <c r="C1152" s="7" t="s">
        <v>76</v>
      </c>
      <c r="D1152" s="7" t="s">
        <v>258</v>
      </c>
      <c r="E1152" s="7" t="s">
        <v>33</v>
      </c>
      <c r="F1152" s="7" t="s">
        <v>162</v>
      </c>
      <c r="G1152" s="11">
        <v>20914.03630482353</v>
      </c>
    </row>
    <row r="1153" spans="1:7" hidden="1">
      <c r="A1153" t="str">
        <f t="shared" si="17"/>
        <v>USADO-07NY-Plus-X6</v>
      </c>
      <c r="B1153" s="7" t="s">
        <v>39</v>
      </c>
      <c r="C1153" s="7" t="s">
        <v>80</v>
      </c>
      <c r="D1153" s="7"/>
      <c r="E1153" s="7" t="s">
        <v>10</v>
      </c>
      <c r="F1153" s="7" t="s">
        <v>162</v>
      </c>
      <c r="G1153" s="11">
        <v>37506.990728485172</v>
      </c>
    </row>
    <row r="1154" spans="1:7">
      <c r="A1154" t="str">
        <f t="shared" si="17"/>
        <v>USADO-07N1-Standard-X6</v>
      </c>
      <c r="B1154" s="7" t="s">
        <v>39</v>
      </c>
      <c r="C1154" s="7" t="s">
        <v>85</v>
      </c>
      <c r="D1154" s="7" t="s">
        <v>259</v>
      </c>
      <c r="E1154" s="7" t="s">
        <v>33</v>
      </c>
      <c r="F1154" s="7" t="s">
        <v>162</v>
      </c>
      <c r="G1154" s="11">
        <v>25407.961461231891</v>
      </c>
    </row>
    <row r="1155" spans="1:7" hidden="1">
      <c r="A1155" t="str">
        <f t="shared" si="17"/>
        <v>USADO-07N2-Plus-X6</v>
      </c>
      <c r="B1155" s="7" t="s">
        <v>39</v>
      </c>
      <c r="C1155" s="7" t="s">
        <v>89</v>
      </c>
      <c r="D1155" s="7"/>
      <c r="E1155" s="7" t="s">
        <v>10</v>
      </c>
      <c r="F1155" s="7" t="s">
        <v>162</v>
      </c>
      <c r="G1155" s="11">
        <v>46408.419403678658</v>
      </c>
    </row>
    <row r="1156" spans="1:7">
      <c r="A1156" t="str">
        <f t="shared" si="17"/>
        <v>USADO-07N4-Standard-X6</v>
      </c>
      <c r="B1156" s="7" t="s">
        <v>39</v>
      </c>
      <c r="C1156" s="7" t="s">
        <v>94</v>
      </c>
      <c r="D1156" s="7" t="s">
        <v>260</v>
      </c>
      <c r="E1156" s="7" t="s">
        <v>33</v>
      </c>
      <c r="F1156" s="7" t="s">
        <v>162</v>
      </c>
      <c r="G1156" s="11">
        <v>31025.367906742344</v>
      </c>
    </row>
    <row r="1157" spans="1:7" hidden="1">
      <c r="A1157" t="str">
        <f t="shared" si="17"/>
        <v>USADO-07N5-Plus-X6</v>
      </c>
      <c r="B1157" s="7" t="s">
        <v>39</v>
      </c>
      <c r="C1157" s="7" t="s">
        <v>98</v>
      </c>
      <c r="D1157" s="7"/>
      <c r="E1157" s="7" t="s">
        <v>10</v>
      </c>
      <c r="F1157" s="7" t="s">
        <v>162</v>
      </c>
      <c r="G1157" s="11">
        <v>54445.631702639766</v>
      </c>
    </row>
    <row r="1158" spans="1:7">
      <c r="A1158" t="str">
        <f t="shared" si="17"/>
        <v>USADO-07NW-Standard-X6</v>
      </c>
      <c r="B1158" s="7" t="s">
        <v>39</v>
      </c>
      <c r="C1158" s="7" t="s">
        <v>103</v>
      </c>
      <c r="D1158" s="7" t="s">
        <v>261</v>
      </c>
      <c r="E1158" s="7" t="s">
        <v>33</v>
      </c>
      <c r="F1158" s="7" t="s">
        <v>162</v>
      </c>
      <c r="G1158" s="11">
        <v>19358.44682760525</v>
      </c>
    </row>
    <row r="1159" spans="1:7" hidden="1">
      <c r="A1159" t="str">
        <f t="shared" si="17"/>
        <v>USADO-07NK-Plus-X6</v>
      </c>
      <c r="B1159" s="7" t="s">
        <v>39</v>
      </c>
      <c r="C1159" s="7" t="s">
        <v>107</v>
      </c>
      <c r="D1159" s="7"/>
      <c r="E1159" s="7" t="s">
        <v>10</v>
      </c>
      <c r="F1159" s="7" t="s">
        <v>162</v>
      </c>
      <c r="G1159" s="11">
        <v>33013.065572076812</v>
      </c>
    </row>
    <row r="1160" spans="1:7">
      <c r="A1160" t="str">
        <f t="shared" si="17"/>
        <v>USADO-07N7-Standard-X6</v>
      </c>
      <c r="B1160" s="7" t="s">
        <v>39</v>
      </c>
      <c r="C1160" s="7" t="s">
        <v>112</v>
      </c>
      <c r="D1160" s="7" t="s">
        <v>262</v>
      </c>
      <c r="E1160" s="7" t="s">
        <v>33</v>
      </c>
      <c r="F1160" s="7" t="s">
        <v>162</v>
      </c>
      <c r="G1160" s="11">
        <v>22037.517593925619</v>
      </c>
    </row>
    <row r="1161" spans="1:7" hidden="1">
      <c r="A1161" t="str">
        <f t="shared" si="17"/>
        <v>USADO-07N8-Plus-X6</v>
      </c>
      <c r="B1161" s="7" t="s">
        <v>39</v>
      </c>
      <c r="C1161" s="7" t="s">
        <v>116</v>
      </c>
      <c r="D1161" s="7"/>
      <c r="E1161" s="7" t="s">
        <v>10</v>
      </c>
      <c r="F1161" s="7" t="s">
        <v>162</v>
      </c>
      <c r="G1161" s="11">
        <v>38371.207104717549</v>
      </c>
    </row>
    <row r="1162" spans="1:7">
      <c r="A1162" t="str">
        <f t="shared" si="17"/>
        <v>USADO-07NH-Standard-X6</v>
      </c>
      <c r="B1162" s="7" t="s">
        <v>39</v>
      </c>
      <c r="C1162" s="7" t="s">
        <v>121</v>
      </c>
      <c r="D1162" s="7" t="s">
        <v>263</v>
      </c>
      <c r="E1162" s="7" t="s">
        <v>33</v>
      </c>
      <c r="F1162" s="7" t="s">
        <v>162</v>
      </c>
      <c r="G1162" s="11">
        <v>25580.804736478367</v>
      </c>
    </row>
    <row r="1163" spans="1:7" hidden="1">
      <c r="A1163" t="str">
        <f t="shared" si="17"/>
        <v>USADO-07NA-Plus-X6</v>
      </c>
      <c r="B1163" s="7" t="s">
        <v>39</v>
      </c>
      <c r="C1163" s="7" t="s">
        <v>125</v>
      </c>
      <c r="D1163" s="7"/>
      <c r="E1163" s="7" t="s">
        <v>10</v>
      </c>
      <c r="F1163" s="7" t="s">
        <v>162</v>
      </c>
      <c r="G1163" s="11">
        <v>46754.105954171609</v>
      </c>
    </row>
    <row r="1164" spans="1:7">
      <c r="A1164" t="str">
        <f t="shared" si="17"/>
        <v>USADO-07UA-Standard-X6</v>
      </c>
      <c r="B1164" s="7" t="s">
        <v>39</v>
      </c>
      <c r="C1164" s="7" t="s">
        <v>130</v>
      </c>
      <c r="D1164" s="7" t="s">
        <v>264</v>
      </c>
      <c r="E1164" s="7" t="s">
        <v>33</v>
      </c>
      <c r="F1164" s="7" t="s">
        <v>162</v>
      </c>
      <c r="G1164" s="11">
        <v>32494.535746337384</v>
      </c>
    </row>
    <row r="1165" spans="1:7" hidden="1">
      <c r="A1165" t="str">
        <f t="shared" si="17"/>
        <v>USADO-07UB-Plus-X6</v>
      </c>
      <c r="B1165" s="7" t="s">
        <v>39</v>
      </c>
      <c r="C1165" s="7" t="s">
        <v>133</v>
      </c>
      <c r="D1165" s="7"/>
      <c r="E1165" s="7" t="s">
        <v>10</v>
      </c>
      <c r="F1165" s="7" t="s">
        <v>162</v>
      </c>
      <c r="G1165" s="11">
        <v>56001.221179858047</v>
      </c>
    </row>
    <row r="1166" spans="1:7" hidden="1">
      <c r="A1166" t="str">
        <f t="shared" ref="A1166:A1229" si="18">B1166&amp;"-"&amp;C1166&amp;"-"&amp;E1166&amp;"-"&amp;F1166</f>
        <v>USADO-07US-Standard-X5M</v>
      </c>
      <c r="B1166" s="7" t="s">
        <v>39</v>
      </c>
      <c r="C1166" s="7" t="s">
        <v>34</v>
      </c>
      <c r="D1166" s="7" t="s">
        <v>254</v>
      </c>
      <c r="E1166" s="7" t="s">
        <v>33</v>
      </c>
      <c r="F1166" s="7" t="s">
        <v>159</v>
      </c>
      <c r="G1166" s="11">
        <v>21000.457942446767</v>
      </c>
    </row>
    <row r="1167" spans="1:7" hidden="1">
      <c r="A1167" t="str">
        <f t="shared" si="18"/>
        <v>USADO-07D7-Plus-X5M</v>
      </c>
      <c r="B1167" s="7" t="s">
        <v>39</v>
      </c>
      <c r="C1167" s="7" t="s">
        <v>42</v>
      </c>
      <c r="D1167" s="7"/>
      <c r="E1167" s="7" t="s">
        <v>10</v>
      </c>
      <c r="F1167" s="7" t="s">
        <v>159</v>
      </c>
      <c r="G1167" s="11">
        <v>32235.270833467672</v>
      </c>
    </row>
    <row r="1168" spans="1:7" hidden="1">
      <c r="A1168" t="str">
        <f t="shared" si="18"/>
        <v>USADO-07NG-Standard-X5M</v>
      </c>
      <c r="B1168" s="7" t="s">
        <v>39</v>
      </c>
      <c r="C1168" s="7" t="s">
        <v>49</v>
      </c>
      <c r="D1168" s="7" t="s">
        <v>255</v>
      </c>
      <c r="E1168" s="7" t="s">
        <v>33</v>
      </c>
      <c r="F1168" s="7" t="s">
        <v>159</v>
      </c>
      <c r="G1168" s="11">
        <v>25840.069649348079</v>
      </c>
    </row>
    <row r="1169" spans="1:7" hidden="1">
      <c r="A1169" t="str">
        <f t="shared" si="18"/>
        <v>USADO-07NM-Plus-X5M</v>
      </c>
      <c r="B1169" s="7" t="s">
        <v>39</v>
      </c>
      <c r="C1169" s="7" t="s">
        <v>53</v>
      </c>
      <c r="D1169" s="7"/>
      <c r="E1169" s="7" t="s">
        <v>10</v>
      </c>
      <c r="F1169" s="7" t="s">
        <v>159</v>
      </c>
      <c r="G1169" s="11">
        <v>49951.706546231406</v>
      </c>
    </row>
    <row r="1170" spans="1:7" hidden="1">
      <c r="A1170" t="str">
        <f t="shared" si="18"/>
        <v>USADO-07DA-Standard-X5M</v>
      </c>
      <c r="B1170" s="7" t="s">
        <v>39</v>
      </c>
      <c r="C1170" s="7" t="s">
        <v>58</v>
      </c>
      <c r="D1170" s="7" t="s">
        <v>256</v>
      </c>
      <c r="E1170" s="7" t="s">
        <v>33</v>
      </c>
      <c r="F1170" s="7" t="s">
        <v>159</v>
      </c>
      <c r="G1170" s="11">
        <v>37247.725815615457</v>
      </c>
    </row>
    <row r="1171" spans="1:7" hidden="1">
      <c r="A1171" t="str">
        <f t="shared" si="18"/>
        <v>USADO-07DB-Plus-X5M</v>
      </c>
      <c r="B1171" s="7" t="s">
        <v>39</v>
      </c>
      <c r="C1171" s="7" t="s">
        <v>62</v>
      </c>
      <c r="D1171" s="7"/>
      <c r="E1171" s="7" t="s">
        <v>10</v>
      </c>
      <c r="F1171" s="7" t="s">
        <v>159</v>
      </c>
      <c r="G1171" s="11">
        <v>64989.071492674768</v>
      </c>
    </row>
    <row r="1172" spans="1:7" hidden="1">
      <c r="A1172" t="str">
        <f t="shared" si="18"/>
        <v>USADO-07DD-Standard-X5M</v>
      </c>
      <c r="B1172" s="7" t="s">
        <v>39</v>
      </c>
      <c r="C1172" s="7" t="s">
        <v>67</v>
      </c>
      <c r="D1172" s="7" t="s">
        <v>257</v>
      </c>
      <c r="E1172" s="7" t="s">
        <v>33</v>
      </c>
      <c r="F1172" s="7" t="s">
        <v>159</v>
      </c>
      <c r="G1172" s="11">
        <v>25926.491286971315</v>
      </c>
    </row>
    <row r="1173" spans="1:7" hidden="1">
      <c r="A1173" t="str">
        <f t="shared" si="18"/>
        <v>USADO-07DE-Plus-X5M</v>
      </c>
      <c r="B1173" s="7" t="s">
        <v>39</v>
      </c>
      <c r="C1173" s="7" t="s">
        <v>71</v>
      </c>
      <c r="D1173" s="7"/>
      <c r="E1173" s="7" t="s">
        <v>10</v>
      </c>
      <c r="F1173" s="7" t="s">
        <v>159</v>
      </c>
      <c r="G1173" s="11">
        <v>50038.128183854642</v>
      </c>
    </row>
    <row r="1174" spans="1:7" hidden="1">
      <c r="A1174" t="str">
        <f t="shared" si="18"/>
        <v>USADO-07NX-Standard-X5M</v>
      </c>
      <c r="B1174" s="7" t="s">
        <v>39</v>
      </c>
      <c r="C1174" s="7" t="s">
        <v>76</v>
      </c>
      <c r="D1174" s="7" t="s">
        <v>258</v>
      </c>
      <c r="E1174" s="7" t="s">
        <v>33</v>
      </c>
      <c r="F1174" s="7" t="s">
        <v>159</v>
      </c>
      <c r="G1174" s="11">
        <v>33531.595397816236</v>
      </c>
    </row>
    <row r="1175" spans="1:7" hidden="1">
      <c r="A1175" t="str">
        <f t="shared" si="18"/>
        <v>USADO-07NY-Plus-X5M</v>
      </c>
      <c r="B1175" s="7" t="s">
        <v>39</v>
      </c>
      <c r="C1175" s="7" t="s">
        <v>80</v>
      </c>
      <c r="D1175" s="7"/>
      <c r="E1175" s="7" t="s">
        <v>10</v>
      </c>
      <c r="F1175" s="7" t="s">
        <v>159</v>
      </c>
      <c r="G1175" s="11">
        <v>58507.448670931939</v>
      </c>
    </row>
    <row r="1176" spans="1:7" hidden="1">
      <c r="A1176" t="str">
        <f t="shared" si="18"/>
        <v>USADO-07N1-Standard-X5M</v>
      </c>
      <c r="B1176" s="7" t="s">
        <v>39</v>
      </c>
      <c r="C1176" s="7" t="s">
        <v>85</v>
      </c>
      <c r="D1176" s="7" t="s">
        <v>259</v>
      </c>
      <c r="E1176" s="7" t="s">
        <v>33</v>
      </c>
      <c r="F1176" s="7" t="s">
        <v>159</v>
      </c>
      <c r="G1176" s="11">
        <v>40013.218219559065</v>
      </c>
    </row>
    <row r="1177" spans="1:7" hidden="1">
      <c r="A1177" t="str">
        <f t="shared" si="18"/>
        <v>USADO-07N2-Plus-X5M</v>
      </c>
      <c r="B1177" s="7" t="s">
        <v>39</v>
      </c>
      <c r="C1177" s="7" t="s">
        <v>89</v>
      </c>
      <c r="D1177" s="7"/>
      <c r="E1177" s="7" t="s">
        <v>10</v>
      </c>
      <c r="F1177" s="7" t="s">
        <v>159</v>
      </c>
      <c r="G1177" s="11">
        <v>66458.239332269804</v>
      </c>
    </row>
    <row r="1178" spans="1:7" hidden="1">
      <c r="A1178" t="str">
        <f t="shared" si="18"/>
        <v>USADO-07N4-Standard-X5M</v>
      </c>
      <c r="B1178" s="7" t="s">
        <v>39</v>
      </c>
      <c r="C1178" s="7" t="s">
        <v>94</v>
      </c>
      <c r="D1178" s="7" t="s">
        <v>260</v>
      </c>
      <c r="E1178" s="7" t="s">
        <v>33</v>
      </c>
      <c r="F1178" s="7" t="s">
        <v>159</v>
      </c>
      <c r="G1178" s="11">
        <v>42951.553898749145</v>
      </c>
    </row>
    <row r="1179" spans="1:7" hidden="1">
      <c r="A1179" t="str">
        <f t="shared" si="18"/>
        <v>USADO-07N5-Plus-X5M</v>
      </c>
      <c r="B1179" s="7" t="s">
        <v>39</v>
      </c>
      <c r="C1179" s="7" t="s">
        <v>98</v>
      </c>
      <c r="D1179" s="7"/>
      <c r="E1179" s="7" t="s">
        <v>10</v>
      </c>
      <c r="F1179" s="7" t="s">
        <v>159</v>
      </c>
      <c r="G1179" s="11">
        <v>90137.76804103695</v>
      </c>
    </row>
    <row r="1180" spans="1:7" hidden="1">
      <c r="A1180" t="str">
        <f t="shared" si="18"/>
        <v>USADO-07NW-Standard-X5M</v>
      </c>
      <c r="B1180" s="7" t="s">
        <v>39</v>
      </c>
      <c r="C1180" s="7" t="s">
        <v>103</v>
      </c>
      <c r="D1180" s="7" t="s">
        <v>261</v>
      </c>
      <c r="E1180" s="7" t="s">
        <v>33</v>
      </c>
      <c r="F1180" s="7" t="s">
        <v>159</v>
      </c>
      <c r="G1180" s="11">
        <v>26445.021112710743</v>
      </c>
    </row>
    <row r="1181" spans="1:7" hidden="1">
      <c r="A1181" t="str">
        <f t="shared" si="18"/>
        <v>USADO-07NK-Plus-X5M</v>
      </c>
      <c r="B1181" s="7" t="s">
        <v>39</v>
      </c>
      <c r="C1181" s="7" t="s">
        <v>107</v>
      </c>
      <c r="D1181" s="7"/>
      <c r="E1181" s="7" t="s">
        <v>10</v>
      </c>
      <c r="F1181" s="7" t="s">
        <v>159</v>
      </c>
      <c r="G1181" s="11">
        <v>50556.658009594066</v>
      </c>
    </row>
    <row r="1182" spans="1:7" hidden="1">
      <c r="A1182" t="str">
        <f t="shared" si="18"/>
        <v>USADO-07N7-Standard-X5M</v>
      </c>
      <c r="B1182" s="7" t="s">
        <v>39</v>
      </c>
      <c r="C1182" s="7" t="s">
        <v>112</v>
      </c>
      <c r="D1182" s="7" t="s">
        <v>262</v>
      </c>
      <c r="E1182" s="7" t="s">
        <v>33</v>
      </c>
      <c r="F1182" s="7" t="s">
        <v>159</v>
      </c>
      <c r="G1182" s="11">
        <v>39408.266756196404</v>
      </c>
    </row>
    <row r="1183" spans="1:7" hidden="1">
      <c r="A1183" t="str">
        <f t="shared" si="18"/>
        <v>USADO-07N8-Plus-X5M</v>
      </c>
      <c r="B1183" s="7" t="s">
        <v>39</v>
      </c>
      <c r="C1183" s="7" t="s">
        <v>116</v>
      </c>
      <c r="D1183" s="7"/>
      <c r="E1183" s="7" t="s">
        <v>10</v>
      </c>
      <c r="F1183" s="7" t="s">
        <v>159</v>
      </c>
      <c r="G1183" s="11">
        <v>63001.3738273403</v>
      </c>
    </row>
    <row r="1184" spans="1:7" hidden="1">
      <c r="A1184" t="str">
        <f t="shared" si="18"/>
        <v>USADO-07NH-Standard-X5M</v>
      </c>
      <c r="B1184" s="7" t="s">
        <v>39</v>
      </c>
      <c r="C1184" s="7" t="s">
        <v>121</v>
      </c>
      <c r="D1184" s="7" t="s">
        <v>263</v>
      </c>
      <c r="E1184" s="7" t="s">
        <v>33</v>
      </c>
      <c r="F1184" s="7" t="s">
        <v>159</v>
      </c>
      <c r="G1184" s="11">
        <v>42087.337522516769</v>
      </c>
    </row>
    <row r="1185" spans="1:7" hidden="1">
      <c r="A1185" t="str">
        <f t="shared" si="18"/>
        <v>USADO-07NA-Plus-X5M</v>
      </c>
      <c r="B1185" s="7" t="s">
        <v>39</v>
      </c>
      <c r="C1185" s="7" t="s">
        <v>125</v>
      </c>
      <c r="D1185" s="7"/>
      <c r="E1185" s="7" t="s">
        <v>10</v>
      </c>
      <c r="F1185" s="7" t="s">
        <v>159</v>
      </c>
      <c r="G1185" s="11">
        <v>67754.563896618376</v>
      </c>
    </row>
    <row r="1186" spans="1:7" hidden="1">
      <c r="A1186" t="str">
        <f t="shared" si="18"/>
        <v>USADO-07UA-Standard-X5M</v>
      </c>
      <c r="B1186" s="7" t="s">
        <v>39</v>
      </c>
      <c r="C1186" s="7" t="s">
        <v>130</v>
      </c>
      <c r="D1186" s="7" t="s">
        <v>264</v>
      </c>
      <c r="E1186" s="7" t="s">
        <v>33</v>
      </c>
      <c r="F1186" s="7" t="s">
        <v>159</v>
      </c>
      <c r="G1186" s="11">
        <v>48396.117069013126</v>
      </c>
    </row>
    <row r="1187" spans="1:7" hidden="1">
      <c r="A1187" t="str">
        <f t="shared" si="18"/>
        <v>USADO-07UB-Plus-X5M</v>
      </c>
      <c r="B1187" s="7" t="s">
        <v>39</v>
      </c>
      <c r="C1187" s="7" t="s">
        <v>133</v>
      </c>
      <c r="D1187" s="7"/>
      <c r="E1187" s="7" t="s">
        <v>10</v>
      </c>
      <c r="F1187" s="7" t="s">
        <v>159</v>
      </c>
      <c r="G1187" s="11">
        <v>95150.223023184735</v>
      </c>
    </row>
    <row r="1188" spans="1:7">
      <c r="A1188" t="str">
        <f t="shared" si="18"/>
        <v>USADO-07US-Standard-X6M</v>
      </c>
      <c r="B1188" s="7" t="s">
        <v>39</v>
      </c>
      <c r="C1188" s="7" t="s">
        <v>34</v>
      </c>
      <c r="D1188" s="7" t="s">
        <v>254</v>
      </c>
      <c r="E1188" s="7" t="s">
        <v>33</v>
      </c>
      <c r="F1188" s="7" t="s">
        <v>165</v>
      </c>
      <c r="G1188" s="11">
        <v>21000.457942446767</v>
      </c>
    </row>
    <row r="1189" spans="1:7" hidden="1">
      <c r="A1189" t="str">
        <f t="shared" si="18"/>
        <v>USADO-07D7-Plus-X6M</v>
      </c>
      <c r="B1189" s="7" t="s">
        <v>39</v>
      </c>
      <c r="C1189" s="7" t="s">
        <v>42</v>
      </c>
      <c r="D1189" s="7"/>
      <c r="E1189" s="7" t="s">
        <v>10</v>
      </c>
      <c r="F1189" s="7" t="s">
        <v>165</v>
      </c>
      <c r="G1189" s="11">
        <v>32235.270833467672</v>
      </c>
    </row>
    <row r="1190" spans="1:7">
      <c r="A1190" t="str">
        <f t="shared" si="18"/>
        <v>USADO-07NG-Standard-X6M</v>
      </c>
      <c r="B1190" s="7" t="s">
        <v>39</v>
      </c>
      <c r="C1190" s="7" t="s">
        <v>49</v>
      </c>
      <c r="D1190" s="7" t="s">
        <v>255</v>
      </c>
      <c r="E1190" s="7" t="s">
        <v>33</v>
      </c>
      <c r="F1190" s="7" t="s">
        <v>165</v>
      </c>
      <c r="G1190" s="11">
        <v>25840.069649348079</v>
      </c>
    </row>
    <row r="1191" spans="1:7" hidden="1">
      <c r="A1191" t="str">
        <f t="shared" si="18"/>
        <v>USADO-07NM-Plus-X6M</v>
      </c>
      <c r="B1191" s="7" t="s">
        <v>39</v>
      </c>
      <c r="C1191" s="7" t="s">
        <v>53</v>
      </c>
      <c r="D1191" s="7"/>
      <c r="E1191" s="7" t="s">
        <v>10</v>
      </c>
      <c r="F1191" s="7" t="s">
        <v>165</v>
      </c>
      <c r="G1191" s="11">
        <v>49951.706546231406</v>
      </c>
    </row>
    <row r="1192" spans="1:7">
      <c r="A1192" t="str">
        <f t="shared" si="18"/>
        <v>USADO-07DA-Standard-X6M</v>
      </c>
      <c r="B1192" s="7" t="s">
        <v>39</v>
      </c>
      <c r="C1192" s="7" t="s">
        <v>58</v>
      </c>
      <c r="D1192" s="7" t="s">
        <v>256</v>
      </c>
      <c r="E1192" s="7" t="s">
        <v>33</v>
      </c>
      <c r="F1192" s="7" t="s">
        <v>165</v>
      </c>
      <c r="G1192" s="11">
        <v>37247.725815615457</v>
      </c>
    </row>
    <row r="1193" spans="1:7" hidden="1">
      <c r="A1193" t="str">
        <f t="shared" si="18"/>
        <v>USADO-07DB-Plus-X6M</v>
      </c>
      <c r="B1193" s="7" t="s">
        <v>39</v>
      </c>
      <c r="C1193" s="7" t="s">
        <v>62</v>
      </c>
      <c r="D1193" s="7"/>
      <c r="E1193" s="7" t="s">
        <v>10</v>
      </c>
      <c r="F1193" s="7" t="s">
        <v>165</v>
      </c>
      <c r="G1193" s="11">
        <v>64989.071492674768</v>
      </c>
    </row>
    <row r="1194" spans="1:7">
      <c r="A1194" t="str">
        <f t="shared" si="18"/>
        <v>USADO-07DD-Standard-X6M</v>
      </c>
      <c r="B1194" s="7" t="s">
        <v>39</v>
      </c>
      <c r="C1194" s="7" t="s">
        <v>67</v>
      </c>
      <c r="D1194" s="7" t="s">
        <v>257</v>
      </c>
      <c r="E1194" s="7" t="s">
        <v>33</v>
      </c>
      <c r="F1194" s="7" t="s">
        <v>165</v>
      </c>
      <c r="G1194" s="11">
        <v>25926.491286971315</v>
      </c>
    </row>
    <row r="1195" spans="1:7" hidden="1">
      <c r="A1195" t="str">
        <f t="shared" si="18"/>
        <v>USADO-07DE-Plus-X6M</v>
      </c>
      <c r="B1195" s="7" t="s">
        <v>39</v>
      </c>
      <c r="C1195" s="7" t="s">
        <v>71</v>
      </c>
      <c r="D1195" s="7"/>
      <c r="E1195" s="7" t="s">
        <v>10</v>
      </c>
      <c r="F1195" s="7" t="s">
        <v>165</v>
      </c>
      <c r="G1195" s="11">
        <v>50038.128183854642</v>
      </c>
    </row>
    <row r="1196" spans="1:7">
      <c r="A1196" t="str">
        <f t="shared" si="18"/>
        <v>USADO-07NX-Standard-X6M</v>
      </c>
      <c r="B1196" s="7" t="s">
        <v>39</v>
      </c>
      <c r="C1196" s="7" t="s">
        <v>76</v>
      </c>
      <c r="D1196" s="7" t="s">
        <v>258</v>
      </c>
      <c r="E1196" s="7" t="s">
        <v>33</v>
      </c>
      <c r="F1196" s="7" t="s">
        <v>165</v>
      </c>
      <c r="G1196" s="11">
        <v>33531.595397816236</v>
      </c>
    </row>
    <row r="1197" spans="1:7" hidden="1">
      <c r="A1197" t="str">
        <f t="shared" si="18"/>
        <v>USADO-07NY-Plus-X6M</v>
      </c>
      <c r="B1197" s="7" t="s">
        <v>39</v>
      </c>
      <c r="C1197" s="7" t="s">
        <v>80</v>
      </c>
      <c r="D1197" s="7"/>
      <c r="E1197" s="7" t="s">
        <v>10</v>
      </c>
      <c r="F1197" s="7" t="s">
        <v>165</v>
      </c>
      <c r="G1197" s="11">
        <v>58507.448670931939</v>
      </c>
    </row>
    <row r="1198" spans="1:7">
      <c r="A1198" t="str">
        <f t="shared" si="18"/>
        <v>USADO-07N1-Standard-X6M</v>
      </c>
      <c r="B1198" s="7" t="s">
        <v>39</v>
      </c>
      <c r="C1198" s="7" t="s">
        <v>85</v>
      </c>
      <c r="D1198" s="7" t="s">
        <v>259</v>
      </c>
      <c r="E1198" s="7" t="s">
        <v>33</v>
      </c>
      <c r="F1198" s="7" t="s">
        <v>165</v>
      </c>
      <c r="G1198" s="11">
        <v>40013.218219559065</v>
      </c>
    </row>
    <row r="1199" spans="1:7" hidden="1">
      <c r="A1199" t="str">
        <f t="shared" si="18"/>
        <v>USADO-07N2-Plus-X6M</v>
      </c>
      <c r="B1199" s="7" t="s">
        <v>39</v>
      </c>
      <c r="C1199" s="7" t="s">
        <v>89</v>
      </c>
      <c r="D1199" s="7"/>
      <c r="E1199" s="7" t="s">
        <v>10</v>
      </c>
      <c r="F1199" s="7" t="s">
        <v>165</v>
      </c>
      <c r="G1199" s="11">
        <v>66458.239332269804</v>
      </c>
    </row>
    <row r="1200" spans="1:7">
      <c r="A1200" t="str">
        <f t="shared" si="18"/>
        <v>USADO-07N4-Standard-X6M</v>
      </c>
      <c r="B1200" s="7" t="s">
        <v>39</v>
      </c>
      <c r="C1200" s="7" t="s">
        <v>94</v>
      </c>
      <c r="D1200" s="7" t="s">
        <v>260</v>
      </c>
      <c r="E1200" s="7" t="s">
        <v>33</v>
      </c>
      <c r="F1200" s="7" t="s">
        <v>165</v>
      </c>
      <c r="G1200" s="11">
        <v>42951.553898749145</v>
      </c>
    </row>
    <row r="1201" spans="1:7" hidden="1">
      <c r="A1201" t="str">
        <f t="shared" si="18"/>
        <v>USADO-07N5-Plus-X6M</v>
      </c>
      <c r="B1201" s="7" t="s">
        <v>39</v>
      </c>
      <c r="C1201" s="7" t="s">
        <v>98</v>
      </c>
      <c r="D1201" s="7"/>
      <c r="E1201" s="7" t="s">
        <v>10</v>
      </c>
      <c r="F1201" s="7" t="s">
        <v>165</v>
      </c>
      <c r="G1201" s="11">
        <v>90137.76804103695</v>
      </c>
    </row>
    <row r="1202" spans="1:7">
      <c r="A1202" t="str">
        <f t="shared" si="18"/>
        <v>USADO-07NW-Standard-X6M</v>
      </c>
      <c r="B1202" s="7" t="s">
        <v>39</v>
      </c>
      <c r="C1202" s="7" t="s">
        <v>103</v>
      </c>
      <c r="D1202" s="7" t="s">
        <v>261</v>
      </c>
      <c r="E1202" s="7" t="s">
        <v>33</v>
      </c>
      <c r="F1202" s="7" t="s">
        <v>165</v>
      </c>
      <c r="G1202" s="11">
        <v>26445.021112710743</v>
      </c>
    </row>
    <row r="1203" spans="1:7" hidden="1">
      <c r="A1203" t="str">
        <f t="shared" si="18"/>
        <v>USADO-07NK-Plus-X6M</v>
      </c>
      <c r="B1203" s="7" t="s">
        <v>39</v>
      </c>
      <c r="C1203" s="7" t="s">
        <v>107</v>
      </c>
      <c r="D1203" s="7"/>
      <c r="E1203" s="7" t="s">
        <v>10</v>
      </c>
      <c r="F1203" s="7" t="s">
        <v>165</v>
      </c>
      <c r="G1203" s="11">
        <v>50556.658009594066</v>
      </c>
    </row>
    <row r="1204" spans="1:7">
      <c r="A1204" t="str">
        <f t="shared" si="18"/>
        <v>USADO-07N7-Standard-X6M</v>
      </c>
      <c r="B1204" s="7" t="s">
        <v>39</v>
      </c>
      <c r="C1204" s="7" t="s">
        <v>112</v>
      </c>
      <c r="D1204" s="7" t="s">
        <v>262</v>
      </c>
      <c r="E1204" s="7" t="s">
        <v>33</v>
      </c>
      <c r="F1204" s="7" t="s">
        <v>165</v>
      </c>
      <c r="G1204" s="11">
        <v>39408.266756196404</v>
      </c>
    </row>
    <row r="1205" spans="1:7" hidden="1">
      <c r="A1205" t="str">
        <f t="shared" si="18"/>
        <v>USADO-07N8-Plus-X6M</v>
      </c>
      <c r="B1205" s="7" t="s">
        <v>39</v>
      </c>
      <c r="C1205" s="7" t="s">
        <v>116</v>
      </c>
      <c r="D1205" s="7"/>
      <c r="E1205" s="7" t="s">
        <v>10</v>
      </c>
      <c r="F1205" s="7" t="s">
        <v>165</v>
      </c>
      <c r="G1205" s="11">
        <v>63001.3738273403</v>
      </c>
    </row>
    <row r="1206" spans="1:7">
      <c r="A1206" t="str">
        <f t="shared" si="18"/>
        <v>USADO-07NH-Standard-X6M</v>
      </c>
      <c r="B1206" s="7" t="s">
        <v>39</v>
      </c>
      <c r="C1206" s="7" t="s">
        <v>121</v>
      </c>
      <c r="D1206" s="7" t="s">
        <v>263</v>
      </c>
      <c r="E1206" s="7" t="s">
        <v>33</v>
      </c>
      <c r="F1206" s="7" t="s">
        <v>165</v>
      </c>
      <c r="G1206" s="11">
        <v>42087.337522516769</v>
      </c>
    </row>
    <row r="1207" spans="1:7" hidden="1">
      <c r="A1207" t="str">
        <f t="shared" si="18"/>
        <v>USADO-07NA-Plus-X6M</v>
      </c>
      <c r="B1207" s="7" t="s">
        <v>39</v>
      </c>
      <c r="C1207" s="7" t="s">
        <v>125</v>
      </c>
      <c r="D1207" s="7"/>
      <c r="E1207" s="7" t="s">
        <v>10</v>
      </c>
      <c r="F1207" s="7" t="s">
        <v>165</v>
      </c>
      <c r="G1207" s="11">
        <v>67754.563896618376</v>
      </c>
    </row>
    <row r="1208" spans="1:7">
      <c r="A1208" t="str">
        <f t="shared" si="18"/>
        <v>USADO-07UA-Standard-X6M</v>
      </c>
      <c r="B1208" s="7" t="s">
        <v>39</v>
      </c>
      <c r="C1208" s="7" t="s">
        <v>130</v>
      </c>
      <c r="D1208" s="7" t="s">
        <v>264</v>
      </c>
      <c r="E1208" s="7" t="s">
        <v>33</v>
      </c>
      <c r="F1208" s="7" t="s">
        <v>165</v>
      </c>
      <c r="G1208" s="11">
        <v>48396.117069013126</v>
      </c>
    </row>
    <row r="1209" spans="1:7" hidden="1">
      <c r="A1209" t="str">
        <f t="shared" si="18"/>
        <v>USADO-07UB-Plus-X6M</v>
      </c>
      <c r="B1209" s="7" t="s">
        <v>39</v>
      </c>
      <c r="C1209" s="7" t="s">
        <v>133</v>
      </c>
      <c r="D1209" s="7"/>
      <c r="E1209" s="7" t="s">
        <v>10</v>
      </c>
      <c r="F1209" s="7" t="s">
        <v>165</v>
      </c>
      <c r="G1209" s="11">
        <v>95150.223023184735</v>
      </c>
    </row>
    <row r="1210" spans="1:7" hidden="1">
      <c r="A1210" t="str">
        <f t="shared" si="18"/>
        <v>USADO-07US-Standard-X7</v>
      </c>
      <c r="B1210" s="7" t="s">
        <v>39</v>
      </c>
      <c r="C1210" s="7" t="s">
        <v>34</v>
      </c>
      <c r="D1210" s="7" t="s">
        <v>254</v>
      </c>
      <c r="E1210" s="7" t="s">
        <v>33</v>
      </c>
      <c r="F1210" s="7" t="s">
        <v>74</v>
      </c>
      <c r="G1210" s="11">
        <v>15901.58132267574</v>
      </c>
    </row>
    <row r="1211" spans="1:7" hidden="1">
      <c r="A1211" t="str">
        <f t="shared" si="18"/>
        <v>USADO-07D7-Plus-X7</v>
      </c>
      <c r="B1211" s="7" t="s">
        <v>39</v>
      </c>
      <c r="C1211" s="7" t="s">
        <v>42</v>
      </c>
      <c r="D1211" s="7"/>
      <c r="E1211" s="7" t="s">
        <v>10</v>
      </c>
      <c r="F1211" s="7" t="s">
        <v>74</v>
      </c>
      <c r="G1211" s="11">
        <v>23506.685433520659</v>
      </c>
    </row>
    <row r="1212" spans="1:7" hidden="1">
      <c r="A1212" t="str">
        <f t="shared" si="18"/>
        <v>USADO-07NG-Standard-X7</v>
      </c>
      <c r="B1212" s="7" t="s">
        <v>39</v>
      </c>
      <c r="C1212" s="7" t="s">
        <v>49</v>
      </c>
      <c r="D1212" s="7" t="s">
        <v>255</v>
      </c>
      <c r="E1212" s="7" t="s">
        <v>33</v>
      </c>
      <c r="F1212" s="7" t="s">
        <v>74</v>
      </c>
      <c r="G1212" s="11">
        <v>20827.614667200291</v>
      </c>
    </row>
    <row r="1213" spans="1:7" hidden="1">
      <c r="A1213" t="str">
        <f t="shared" si="18"/>
        <v>USADO-07NM-Plus-X7</v>
      </c>
      <c r="B1213" s="7" t="s">
        <v>39</v>
      </c>
      <c r="C1213" s="7" t="s">
        <v>53</v>
      </c>
      <c r="D1213" s="7"/>
      <c r="E1213" s="7" t="s">
        <v>10</v>
      </c>
      <c r="F1213" s="7" t="s">
        <v>74</v>
      </c>
      <c r="G1213" s="11">
        <v>35605.71470077394</v>
      </c>
    </row>
    <row r="1214" spans="1:7" hidden="1">
      <c r="A1214" t="str">
        <f t="shared" si="18"/>
        <v>USADO-07DA-Standard-X7</v>
      </c>
      <c r="B1214" s="7" t="s">
        <v>39</v>
      </c>
      <c r="C1214" s="7" t="s">
        <v>58</v>
      </c>
      <c r="D1214" s="7" t="s">
        <v>256</v>
      </c>
      <c r="E1214" s="7" t="s">
        <v>33</v>
      </c>
      <c r="F1214" s="7" t="s">
        <v>74</v>
      </c>
      <c r="G1214" s="11">
        <v>28778.40532853816</v>
      </c>
    </row>
    <row r="1215" spans="1:7" hidden="1">
      <c r="A1215" t="str">
        <f t="shared" si="18"/>
        <v>USADO-07DB-Plus-X7</v>
      </c>
      <c r="B1215" s="7" t="s">
        <v>39</v>
      </c>
      <c r="C1215" s="7" t="s">
        <v>62</v>
      </c>
      <c r="D1215" s="7"/>
      <c r="E1215" s="7" t="s">
        <v>10</v>
      </c>
      <c r="F1215" s="7" t="s">
        <v>74</v>
      </c>
      <c r="G1215" s="11">
        <v>50815.922922463782</v>
      </c>
    </row>
    <row r="1216" spans="1:7" hidden="1">
      <c r="A1216" t="str">
        <f t="shared" si="18"/>
        <v>USADO-07DD-Standard-X7</v>
      </c>
      <c r="B1216" s="7" t="s">
        <v>39</v>
      </c>
      <c r="C1216" s="7" t="s">
        <v>67</v>
      </c>
      <c r="D1216" s="7" t="s">
        <v>257</v>
      </c>
      <c r="E1216" s="7" t="s">
        <v>33</v>
      </c>
      <c r="F1216" s="7" t="s">
        <v>74</v>
      </c>
      <c r="G1216" s="11">
        <v>20827.614667200291</v>
      </c>
    </row>
    <row r="1217" spans="1:7" hidden="1">
      <c r="A1217" t="str">
        <f t="shared" si="18"/>
        <v>USADO-07DE-Plus-X7</v>
      </c>
      <c r="B1217" s="7" t="s">
        <v>39</v>
      </c>
      <c r="C1217" s="7" t="s">
        <v>71</v>
      </c>
      <c r="D1217" s="7"/>
      <c r="E1217" s="7" t="s">
        <v>10</v>
      </c>
      <c r="F1217" s="7" t="s">
        <v>74</v>
      </c>
      <c r="G1217" s="11">
        <v>35864.979613643656</v>
      </c>
    </row>
    <row r="1218" spans="1:7" hidden="1">
      <c r="A1218" t="str">
        <f t="shared" si="18"/>
        <v>USADO-07NX-Standard-X7</v>
      </c>
      <c r="B1218" s="7" t="s">
        <v>39</v>
      </c>
      <c r="C1218" s="7" t="s">
        <v>76</v>
      </c>
      <c r="D1218" s="7" t="s">
        <v>258</v>
      </c>
      <c r="E1218" s="7" t="s">
        <v>33</v>
      </c>
      <c r="F1218" s="7" t="s">
        <v>74</v>
      </c>
      <c r="G1218" s="11">
        <v>24198.058534506563</v>
      </c>
    </row>
    <row r="1219" spans="1:7" hidden="1">
      <c r="A1219" t="str">
        <f t="shared" si="18"/>
        <v>USADO-07NY-Plus-X7</v>
      </c>
      <c r="B1219" s="7" t="s">
        <v>39</v>
      </c>
      <c r="C1219" s="7" t="s">
        <v>80</v>
      </c>
      <c r="D1219" s="7"/>
      <c r="E1219" s="7" t="s">
        <v>10</v>
      </c>
      <c r="F1219" s="7" t="s">
        <v>74</v>
      </c>
      <c r="G1219" s="11">
        <v>41568.807696777345</v>
      </c>
    </row>
    <row r="1220" spans="1:7" hidden="1">
      <c r="A1220" t="str">
        <f t="shared" si="18"/>
        <v>USADO-07N1-Standard-X7</v>
      </c>
      <c r="B1220" s="7" t="s">
        <v>39</v>
      </c>
      <c r="C1220" s="7" t="s">
        <v>85</v>
      </c>
      <c r="D1220" s="7" t="s">
        <v>259</v>
      </c>
      <c r="E1220" s="7" t="s">
        <v>33</v>
      </c>
      <c r="F1220" s="7" t="s">
        <v>74</v>
      </c>
      <c r="G1220" s="11">
        <v>29124.091879031112</v>
      </c>
    </row>
    <row r="1221" spans="1:7" hidden="1">
      <c r="A1221" t="str">
        <f t="shared" si="18"/>
        <v>USADO-07N2-Plus-X7</v>
      </c>
      <c r="B1221" s="7" t="s">
        <v>39</v>
      </c>
      <c r="C1221" s="7" t="s">
        <v>89</v>
      </c>
      <c r="D1221" s="7"/>
      <c r="E1221" s="7" t="s">
        <v>10</v>
      </c>
      <c r="F1221" s="7" t="s">
        <v>74</v>
      </c>
      <c r="G1221" s="11">
        <v>51161.609472956734</v>
      </c>
    </row>
    <row r="1222" spans="1:7" hidden="1">
      <c r="A1222" t="str">
        <f t="shared" si="18"/>
        <v>USADO-07N4-Standard-X7</v>
      </c>
      <c r="B1222" s="7" t="s">
        <v>39</v>
      </c>
      <c r="C1222" s="7" t="s">
        <v>94</v>
      </c>
      <c r="D1222" s="7" t="s">
        <v>260</v>
      </c>
      <c r="E1222" s="7" t="s">
        <v>33</v>
      </c>
      <c r="F1222" s="7" t="s">
        <v>74</v>
      </c>
      <c r="G1222" s="11">
        <v>34482.233411671848</v>
      </c>
    </row>
    <row r="1223" spans="1:7" hidden="1">
      <c r="A1223" t="str">
        <f t="shared" si="18"/>
        <v>USADO-07N5-Plus-X7</v>
      </c>
      <c r="B1223" s="7" t="s">
        <v>39</v>
      </c>
      <c r="C1223" s="7" t="s">
        <v>98</v>
      </c>
      <c r="D1223" s="7"/>
      <c r="E1223" s="7" t="s">
        <v>10</v>
      </c>
      <c r="F1223" s="7" t="s">
        <v>74</v>
      </c>
      <c r="G1223" s="11">
        <v>59890.194872903739</v>
      </c>
    </row>
    <row r="1224" spans="1:7" hidden="1">
      <c r="A1224" t="str">
        <f t="shared" si="18"/>
        <v>USADO-07NW-Standard-X7</v>
      </c>
      <c r="B1224" s="7" t="s">
        <v>39</v>
      </c>
      <c r="C1224" s="7" t="s">
        <v>103</v>
      </c>
      <c r="D1224" s="7" t="s">
        <v>261</v>
      </c>
      <c r="E1224" s="7" t="s">
        <v>33</v>
      </c>
      <c r="F1224" s="7" t="s">
        <v>74</v>
      </c>
      <c r="G1224" s="11">
        <v>22037.517593925619</v>
      </c>
    </row>
    <row r="1225" spans="1:7" hidden="1">
      <c r="A1225" t="str">
        <f t="shared" si="18"/>
        <v>USADO-07NK-Plus-X7</v>
      </c>
      <c r="B1225" s="7" t="s">
        <v>39</v>
      </c>
      <c r="C1225" s="7" t="s">
        <v>107</v>
      </c>
      <c r="D1225" s="7"/>
      <c r="E1225" s="7" t="s">
        <v>10</v>
      </c>
      <c r="F1225" s="7" t="s">
        <v>74</v>
      </c>
      <c r="G1225" s="11">
        <v>36556.352714629553</v>
      </c>
    </row>
    <row r="1226" spans="1:7" hidden="1">
      <c r="A1226" t="str">
        <f t="shared" si="18"/>
        <v>USADO-07N7-Standard-X7</v>
      </c>
      <c r="B1226" s="7" t="s">
        <v>39</v>
      </c>
      <c r="C1226" s="7" t="s">
        <v>112</v>
      </c>
      <c r="D1226" s="7" t="s">
        <v>262</v>
      </c>
      <c r="E1226" s="7" t="s">
        <v>33</v>
      </c>
      <c r="F1226" s="7" t="s">
        <v>74</v>
      </c>
      <c r="G1226" s="11">
        <v>27827.767314682547</v>
      </c>
    </row>
    <row r="1227" spans="1:7" hidden="1">
      <c r="A1227" t="str">
        <f t="shared" si="18"/>
        <v>USADO-07N8-Plus-X7</v>
      </c>
      <c r="B1227" s="7" t="s">
        <v>39</v>
      </c>
      <c r="C1227" s="7" t="s">
        <v>116</v>
      </c>
      <c r="D1227" s="7"/>
      <c r="E1227" s="7" t="s">
        <v>10</v>
      </c>
      <c r="F1227" s="7" t="s">
        <v>74</v>
      </c>
      <c r="G1227" s="11">
        <v>42692.288985879437</v>
      </c>
    </row>
    <row r="1228" spans="1:7" hidden="1">
      <c r="A1228" t="str">
        <f t="shared" si="18"/>
        <v>USADO-07NH-Standard-X7</v>
      </c>
      <c r="B1228" s="7" t="s">
        <v>39</v>
      </c>
      <c r="C1228" s="7" t="s">
        <v>121</v>
      </c>
      <c r="D1228" s="7" t="s">
        <v>263</v>
      </c>
      <c r="E1228" s="7" t="s">
        <v>33</v>
      </c>
      <c r="F1228" s="7" t="s">
        <v>74</v>
      </c>
      <c r="G1228" s="11">
        <v>29556.2000671473</v>
      </c>
    </row>
    <row r="1229" spans="1:7" hidden="1">
      <c r="A1229" t="str">
        <f t="shared" si="18"/>
        <v>USADO-07NA-Plus-X7</v>
      </c>
      <c r="B1229" s="7" t="s">
        <v>39</v>
      </c>
      <c r="C1229" s="7" t="s">
        <v>125</v>
      </c>
      <c r="D1229" s="7"/>
      <c r="E1229" s="7" t="s">
        <v>10</v>
      </c>
      <c r="F1229" s="7" t="s">
        <v>74</v>
      </c>
      <c r="G1229" s="11">
        <v>51248.03111057997</v>
      </c>
    </row>
    <row r="1230" spans="1:7" hidden="1">
      <c r="A1230" t="str">
        <f t="shared" ref="A1230:A1293" si="19">B1230&amp;"-"&amp;C1230&amp;"-"&amp;E1230&amp;"-"&amp;F1230</f>
        <v>USADO-07UA-Standard-X7</v>
      </c>
      <c r="B1230" s="7" t="s">
        <v>39</v>
      </c>
      <c r="C1230" s="7" t="s">
        <v>130</v>
      </c>
      <c r="D1230" s="7" t="s">
        <v>264</v>
      </c>
      <c r="E1230" s="7" t="s">
        <v>33</v>
      </c>
      <c r="F1230" s="7" t="s">
        <v>74</v>
      </c>
      <c r="G1230" s="11">
        <v>36210.666164136608</v>
      </c>
    </row>
    <row r="1231" spans="1:7" hidden="1">
      <c r="A1231" t="str">
        <f t="shared" si="19"/>
        <v>USADO-07UB-Plus-X7</v>
      </c>
      <c r="B1231" s="7" t="s">
        <v>39</v>
      </c>
      <c r="C1231" s="7" t="s">
        <v>133</v>
      </c>
      <c r="D1231" s="7"/>
      <c r="E1231" s="7" t="s">
        <v>10</v>
      </c>
      <c r="F1231" s="7" t="s">
        <v>74</v>
      </c>
      <c r="G1231" s="11">
        <v>61100.097799629068</v>
      </c>
    </row>
    <row r="1232" spans="1:7" hidden="1">
      <c r="A1232" t="str">
        <f t="shared" si="19"/>
        <v>USADO-07US-Standard-Z4</v>
      </c>
      <c r="B1232" s="7" t="s">
        <v>39</v>
      </c>
      <c r="C1232" s="7" t="s">
        <v>34</v>
      </c>
      <c r="D1232" s="7" t="s">
        <v>254</v>
      </c>
      <c r="E1232" s="7" t="s">
        <v>33</v>
      </c>
      <c r="F1232" s="7" t="s">
        <v>168</v>
      </c>
      <c r="G1232" s="11">
        <v>10197.753239542051</v>
      </c>
    </row>
    <row r="1233" spans="1:7" hidden="1">
      <c r="A1233" t="str">
        <f t="shared" si="19"/>
        <v>USADO-07D7-Plus-Z4</v>
      </c>
      <c r="B1233" s="7" t="s">
        <v>39</v>
      </c>
      <c r="C1233" s="7" t="s">
        <v>42</v>
      </c>
      <c r="D1233" s="7"/>
      <c r="E1233" s="7" t="s">
        <v>10</v>
      </c>
      <c r="F1233" s="7" t="s">
        <v>168</v>
      </c>
      <c r="G1233" s="11">
        <v>14259.570207834224</v>
      </c>
    </row>
    <row r="1234" spans="1:7" hidden="1">
      <c r="A1234" t="str">
        <f t="shared" si="19"/>
        <v>USADO-07NG-Standard-Z4</v>
      </c>
      <c r="B1234" s="7" t="s">
        <v>39</v>
      </c>
      <c r="C1234" s="7" t="s">
        <v>49</v>
      </c>
      <c r="D1234" s="7" t="s">
        <v>255</v>
      </c>
      <c r="E1234" s="7" t="s">
        <v>33</v>
      </c>
      <c r="F1234" s="7" t="s">
        <v>168</v>
      </c>
      <c r="G1234" s="11">
        <v>14173.148570210986</v>
      </c>
    </row>
    <row r="1235" spans="1:7" hidden="1">
      <c r="A1235" t="str">
        <f t="shared" si="19"/>
        <v>USADO-07NM-Plus-Z4</v>
      </c>
      <c r="B1235" s="7" t="s">
        <v>39</v>
      </c>
      <c r="C1235" s="7" t="s">
        <v>53</v>
      </c>
      <c r="D1235" s="7"/>
      <c r="E1235" s="7" t="s">
        <v>10</v>
      </c>
      <c r="F1235" s="7" t="s">
        <v>168</v>
      </c>
      <c r="G1235" s="11">
        <v>25062.274910738939</v>
      </c>
    </row>
    <row r="1236" spans="1:7" hidden="1">
      <c r="A1236" t="str">
        <f t="shared" si="19"/>
        <v>USADO-07DA-Standard-Z4</v>
      </c>
      <c r="B1236" s="7" t="s">
        <v>39</v>
      </c>
      <c r="C1236" s="7" t="s">
        <v>58</v>
      </c>
      <c r="D1236" s="7" t="s">
        <v>256</v>
      </c>
      <c r="E1236" s="7" t="s">
        <v>33</v>
      </c>
      <c r="F1236" s="7" t="s">
        <v>168</v>
      </c>
      <c r="G1236" s="11">
        <v>19185.603552358774</v>
      </c>
    </row>
    <row r="1237" spans="1:7" hidden="1">
      <c r="A1237" t="str">
        <f t="shared" si="19"/>
        <v>USADO-07DB-Plus-Z4</v>
      </c>
      <c r="B1237" s="7" t="s">
        <v>39</v>
      </c>
      <c r="C1237" s="7" t="s">
        <v>62</v>
      </c>
      <c r="D1237" s="7"/>
      <c r="E1237" s="7" t="s">
        <v>10</v>
      </c>
      <c r="F1237" s="7" t="s">
        <v>168</v>
      </c>
      <c r="G1237" s="11">
        <v>34914.341599788037</v>
      </c>
    </row>
    <row r="1238" spans="1:7" hidden="1">
      <c r="A1238" t="str">
        <f t="shared" si="19"/>
        <v>USADO-07DD-Standard-Z4</v>
      </c>
      <c r="B1238" s="7" t="s">
        <v>39</v>
      </c>
      <c r="C1238" s="7" t="s">
        <v>67</v>
      </c>
      <c r="D1238" s="7" t="s">
        <v>257</v>
      </c>
      <c r="E1238" s="7" t="s">
        <v>33</v>
      </c>
      <c r="F1238" s="7" t="s">
        <v>168</v>
      </c>
      <c r="G1238" s="11">
        <v>14173.148570210986</v>
      </c>
    </row>
    <row r="1239" spans="1:7" hidden="1">
      <c r="A1239" t="str">
        <f t="shared" si="19"/>
        <v>USADO-07DE-Plus-Z4</v>
      </c>
      <c r="B1239" s="7" t="s">
        <v>39</v>
      </c>
      <c r="C1239" s="7" t="s">
        <v>71</v>
      </c>
      <c r="D1239" s="7"/>
      <c r="E1239" s="7" t="s">
        <v>10</v>
      </c>
      <c r="F1239" s="7" t="s">
        <v>168</v>
      </c>
      <c r="G1239" s="11">
        <v>25235.118185985415</v>
      </c>
    </row>
    <row r="1240" spans="1:7" hidden="1">
      <c r="A1240" t="str">
        <f t="shared" si="19"/>
        <v>USADO-07NX-Standard-Z4</v>
      </c>
      <c r="B1240" s="7" t="s">
        <v>39</v>
      </c>
      <c r="C1240" s="7" t="s">
        <v>76</v>
      </c>
      <c r="D1240" s="7" t="s">
        <v>258</v>
      </c>
      <c r="E1240" s="7" t="s">
        <v>33</v>
      </c>
      <c r="F1240" s="7" t="s">
        <v>168</v>
      </c>
      <c r="G1240" s="11">
        <v>16074.424597922216</v>
      </c>
    </row>
    <row r="1241" spans="1:7" hidden="1">
      <c r="A1241" t="str">
        <f t="shared" si="19"/>
        <v>USADO-07NY-Plus-Z4</v>
      </c>
      <c r="B1241" s="7" t="s">
        <v>39</v>
      </c>
      <c r="C1241" s="7" t="s">
        <v>80</v>
      </c>
      <c r="D1241" s="7"/>
      <c r="E1241" s="7" t="s">
        <v>10</v>
      </c>
      <c r="F1241" s="7" t="s">
        <v>168</v>
      </c>
      <c r="G1241" s="11">
        <v>29037.670241407875</v>
      </c>
    </row>
    <row r="1242" spans="1:7" hidden="1">
      <c r="A1242" t="str">
        <f t="shared" si="19"/>
        <v>USADO-07N1-Standard-Z4</v>
      </c>
      <c r="B1242" s="7" t="s">
        <v>39</v>
      </c>
      <c r="C1242" s="7" t="s">
        <v>85</v>
      </c>
      <c r="D1242" s="7" t="s">
        <v>259</v>
      </c>
      <c r="E1242" s="7" t="s">
        <v>33</v>
      </c>
      <c r="F1242" s="7" t="s">
        <v>168</v>
      </c>
      <c r="G1242" s="11">
        <v>19272.02518998201</v>
      </c>
    </row>
    <row r="1243" spans="1:7" hidden="1">
      <c r="A1243" t="str">
        <f t="shared" si="19"/>
        <v>USADO-07N2-Plus-Z4</v>
      </c>
      <c r="B1243" s="7" t="s">
        <v>39</v>
      </c>
      <c r="C1243" s="7" t="s">
        <v>89</v>
      </c>
      <c r="D1243" s="7"/>
      <c r="E1243" s="7" t="s">
        <v>10</v>
      </c>
      <c r="F1243" s="7" t="s">
        <v>168</v>
      </c>
      <c r="G1243" s="11">
        <v>35346.449787904225</v>
      </c>
    </row>
    <row r="1244" spans="1:7" hidden="1">
      <c r="A1244" t="str">
        <f t="shared" si="19"/>
        <v>USADO-07N4-Standard-Z4</v>
      </c>
      <c r="B1244" s="7" t="s">
        <v>39</v>
      </c>
      <c r="C1244" s="7" t="s">
        <v>94</v>
      </c>
      <c r="D1244" s="7" t="s">
        <v>260</v>
      </c>
      <c r="E1244" s="7" t="s">
        <v>33</v>
      </c>
      <c r="F1244" s="7" t="s">
        <v>168</v>
      </c>
      <c r="G1244" s="11">
        <v>23333.842158274183</v>
      </c>
    </row>
    <row r="1245" spans="1:7" hidden="1">
      <c r="A1245" t="str">
        <f t="shared" si="19"/>
        <v>USADO-07N5-Plus-Z4</v>
      </c>
      <c r="B1245" s="7" t="s">
        <v>39</v>
      </c>
      <c r="C1245" s="7" t="s">
        <v>98</v>
      </c>
      <c r="D1245" s="7"/>
      <c r="E1245" s="7" t="s">
        <v>10</v>
      </c>
      <c r="F1245" s="7" t="s">
        <v>168</v>
      </c>
      <c r="G1245" s="11">
        <v>41223.121146284393</v>
      </c>
    </row>
    <row r="1246" spans="1:7" hidden="1">
      <c r="A1246" t="str">
        <f t="shared" si="19"/>
        <v>USADO-07NW-Standard-Z4</v>
      </c>
      <c r="B1246" s="7" t="s">
        <v>39</v>
      </c>
      <c r="C1246" s="7" t="s">
        <v>103</v>
      </c>
      <c r="D1246" s="7" t="s">
        <v>261</v>
      </c>
      <c r="E1246" s="7" t="s">
        <v>33</v>
      </c>
      <c r="F1246" s="7" t="s">
        <v>168</v>
      </c>
      <c r="G1246" s="11">
        <v>15383.051496936314</v>
      </c>
    </row>
    <row r="1247" spans="1:7" hidden="1">
      <c r="A1247" t="str">
        <f t="shared" si="19"/>
        <v>USADO-07NK-Plus-Z4</v>
      </c>
      <c r="B1247" s="7" t="s">
        <v>39</v>
      </c>
      <c r="C1247" s="7" t="s">
        <v>107</v>
      </c>
      <c r="D1247" s="7"/>
      <c r="E1247" s="7" t="s">
        <v>10</v>
      </c>
      <c r="F1247" s="7" t="s">
        <v>168</v>
      </c>
      <c r="G1247" s="11">
        <v>26358.599475087503</v>
      </c>
    </row>
    <row r="1248" spans="1:7" hidden="1">
      <c r="A1248" t="str">
        <f t="shared" si="19"/>
        <v>USADO-07N7-Standard-Z4</v>
      </c>
      <c r="B1248" s="7" t="s">
        <v>39</v>
      </c>
      <c r="C1248" s="7" t="s">
        <v>112</v>
      </c>
      <c r="D1248" s="7" t="s">
        <v>262</v>
      </c>
      <c r="E1248" s="7" t="s">
        <v>33</v>
      </c>
      <c r="F1248" s="7" t="s">
        <v>168</v>
      </c>
      <c r="G1248" s="11">
        <v>17284.327524647546</v>
      </c>
    </row>
    <row r="1249" spans="1:7" hidden="1">
      <c r="A1249" t="str">
        <f t="shared" si="19"/>
        <v>USADO-07N8-Plus-Z4</v>
      </c>
      <c r="B1249" s="7" t="s">
        <v>39</v>
      </c>
      <c r="C1249" s="7" t="s">
        <v>116</v>
      </c>
      <c r="D1249" s="7"/>
      <c r="E1249" s="7" t="s">
        <v>10</v>
      </c>
      <c r="F1249" s="7" t="s">
        <v>168</v>
      </c>
      <c r="G1249" s="11">
        <v>30420.41644337968</v>
      </c>
    </row>
    <row r="1250" spans="1:7" hidden="1">
      <c r="A1250" t="str">
        <f t="shared" si="19"/>
        <v>USADO-07NH-Standard-Z4</v>
      </c>
      <c r="B1250" s="7" t="s">
        <v>39</v>
      </c>
      <c r="C1250" s="7" t="s">
        <v>121</v>
      </c>
      <c r="D1250" s="7" t="s">
        <v>263</v>
      </c>
      <c r="E1250" s="7" t="s">
        <v>33</v>
      </c>
      <c r="F1250" s="7" t="s">
        <v>168</v>
      </c>
      <c r="G1250" s="11">
        <v>19963.398290967914</v>
      </c>
    </row>
    <row r="1251" spans="1:7" hidden="1">
      <c r="A1251" t="str">
        <f t="shared" si="19"/>
        <v>USADO-07NA-Plus-Z4</v>
      </c>
      <c r="B1251" s="7" t="s">
        <v>39</v>
      </c>
      <c r="C1251" s="7" t="s">
        <v>125</v>
      </c>
      <c r="D1251" s="7"/>
      <c r="E1251" s="7" t="s">
        <v>10</v>
      </c>
      <c r="F1251" s="7" t="s">
        <v>168</v>
      </c>
      <c r="G1251" s="11">
        <v>36383.50943938308</v>
      </c>
    </row>
    <row r="1252" spans="1:7" hidden="1">
      <c r="A1252" t="str">
        <f t="shared" si="19"/>
        <v>USADO-07UA-Standard-Z4</v>
      </c>
      <c r="B1252" s="7" t="s">
        <v>39</v>
      </c>
      <c r="C1252" s="7" t="s">
        <v>130</v>
      </c>
      <c r="D1252" s="7" t="s">
        <v>264</v>
      </c>
      <c r="E1252" s="7" t="s">
        <v>33</v>
      </c>
      <c r="F1252" s="7" t="s">
        <v>168</v>
      </c>
      <c r="G1252" s="11">
        <v>24716.588360245987</v>
      </c>
    </row>
    <row r="1253" spans="1:7" hidden="1">
      <c r="A1253" t="str">
        <f t="shared" si="19"/>
        <v>USADO-07UB-Plus-Z4</v>
      </c>
      <c r="B1253" s="7" t="s">
        <v>39</v>
      </c>
      <c r="C1253" s="7" t="s">
        <v>133</v>
      </c>
      <c r="D1253" s="7"/>
      <c r="E1253" s="7" t="s">
        <v>10</v>
      </c>
      <c r="F1253" s="7" t="s">
        <v>168</v>
      </c>
      <c r="G1253" s="11">
        <v>42865.132261125909</v>
      </c>
    </row>
    <row r="1254" spans="1:7" hidden="1">
      <c r="A1254" t="str">
        <f t="shared" si="19"/>
        <v>USADO-07US-Standard-MINI</v>
      </c>
      <c r="B1254" s="7" t="s">
        <v>39</v>
      </c>
      <c r="C1254" s="7" t="s">
        <v>34</v>
      </c>
      <c r="D1254" s="7" t="s">
        <v>254</v>
      </c>
      <c r="E1254" s="7" t="s">
        <v>33</v>
      </c>
      <c r="F1254" s="7" t="s">
        <v>124</v>
      </c>
      <c r="G1254" s="11">
        <v>9247.115225686437</v>
      </c>
    </row>
    <row r="1255" spans="1:7" hidden="1">
      <c r="A1255" t="str">
        <f t="shared" si="19"/>
        <v>USADO-07D7-Plus-MINI</v>
      </c>
      <c r="B1255" s="7" t="s">
        <v>39</v>
      </c>
      <c r="C1255" s="7" t="s">
        <v>42</v>
      </c>
      <c r="D1255" s="7"/>
      <c r="E1255" s="7" t="s">
        <v>10</v>
      </c>
      <c r="F1255" s="7" t="s">
        <v>124</v>
      </c>
      <c r="G1255" s="11">
        <v>12963.245643485658</v>
      </c>
    </row>
    <row r="1256" spans="1:7" hidden="1">
      <c r="A1256" t="str">
        <f t="shared" si="19"/>
        <v>USADO-07NG-Standard-MINI</v>
      </c>
      <c r="B1256" s="7" t="s">
        <v>39</v>
      </c>
      <c r="C1256" s="7" t="s">
        <v>49</v>
      </c>
      <c r="D1256" s="7" t="s">
        <v>255</v>
      </c>
      <c r="E1256" s="7" t="s">
        <v>33</v>
      </c>
      <c r="F1256" s="7" t="s">
        <v>124</v>
      </c>
      <c r="G1256" s="11">
        <v>12876.82400586242</v>
      </c>
    </row>
    <row r="1257" spans="1:7" hidden="1">
      <c r="A1257" t="str">
        <f t="shared" si="19"/>
        <v>USADO-07NM-Plus-MINI</v>
      </c>
      <c r="B1257" s="7" t="s">
        <v>39</v>
      </c>
      <c r="C1257" s="7" t="s">
        <v>53</v>
      </c>
      <c r="D1257" s="7"/>
      <c r="E1257" s="7" t="s">
        <v>10</v>
      </c>
      <c r="F1257" s="7" t="s">
        <v>124</v>
      </c>
      <c r="G1257" s="11">
        <v>21864.674318679143</v>
      </c>
    </row>
    <row r="1258" spans="1:7" hidden="1">
      <c r="A1258" t="str">
        <f t="shared" si="19"/>
        <v>USADO-07DA-Standard-MINI</v>
      </c>
      <c r="B1258" s="7" t="s">
        <v>39</v>
      </c>
      <c r="C1258" s="7" t="s">
        <v>58</v>
      </c>
      <c r="D1258" s="7" t="s">
        <v>256</v>
      </c>
      <c r="E1258" s="7" t="s">
        <v>33</v>
      </c>
      <c r="F1258" s="7" t="s">
        <v>124</v>
      </c>
      <c r="G1258" s="11">
        <v>17889.27898801021</v>
      </c>
    </row>
    <row r="1259" spans="1:7" hidden="1">
      <c r="A1259" t="str">
        <f t="shared" si="19"/>
        <v>USADO-07DB-Plus-MINI</v>
      </c>
      <c r="B1259" s="7" t="s">
        <v>39</v>
      </c>
      <c r="C1259" s="7" t="s">
        <v>62</v>
      </c>
      <c r="D1259" s="7"/>
      <c r="E1259" s="7" t="s">
        <v>10</v>
      </c>
      <c r="F1259" s="7" t="s">
        <v>124</v>
      </c>
      <c r="G1259" s="11">
        <v>31803.16264535148</v>
      </c>
    </row>
    <row r="1260" spans="1:7" hidden="1">
      <c r="A1260" t="str">
        <f t="shared" si="19"/>
        <v>USADO-07DD-Standard-MINI</v>
      </c>
      <c r="B1260" s="7" t="s">
        <v>39</v>
      </c>
      <c r="C1260" s="7" t="s">
        <v>67</v>
      </c>
      <c r="D1260" s="7" t="s">
        <v>257</v>
      </c>
      <c r="E1260" s="7" t="s">
        <v>33</v>
      </c>
      <c r="F1260" s="7" t="s">
        <v>124</v>
      </c>
      <c r="G1260" s="11">
        <v>12876.82400586242</v>
      </c>
    </row>
    <row r="1261" spans="1:7" hidden="1">
      <c r="A1261" t="str">
        <f t="shared" si="19"/>
        <v>USADO-07DE-Plus-MINI</v>
      </c>
      <c r="B1261" s="7" t="s">
        <v>39</v>
      </c>
      <c r="C1261" s="7" t="s">
        <v>71</v>
      </c>
      <c r="D1261" s="7"/>
      <c r="E1261" s="7" t="s">
        <v>10</v>
      </c>
      <c r="F1261" s="7" t="s">
        <v>124</v>
      </c>
      <c r="G1261" s="11">
        <v>22037.517593925619</v>
      </c>
    </row>
    <row r="1262" spans="1:7" hidden="1">
      <c r="A1262" t="str">
        <f t="shared" si="19"/>
        <v>USADO-07NX-Standard-MINI</v>
      </c>
      <c r="B1262" s="7" t="s">
        <v>39</v>
      </c>
      <c r="C1262" s="7" t="s">
        <v>76</v>
      </c>
      <c r="D1262" s="7" t="s">
        <v>258</v>
      </c>
      <c r="E1262" s="7" t="s">
        <v>33</v>
      </c>
      <c r="F1262" s="7" t="s">
        <v>124</v>
      </c>
      <c r="G1262" s="11">
        <v>14950.943308820126</v>
      </c>
    </row>
    <row r="1263" spans="1:7" hidden="1">
      <c r="A1263" t="str">
        <f t="shared" si="19"/>
        <v>USADO-07NY-Plus-MINI</v>
      </c>
      <c r="B1263" s="7" t="s">
        <v>39</v>
      </c>
      <c r="C1263" s="7" t="s">
        <v>80</v>
      </c>
      <c r="D1263" s="7"/>
      <c r="E1263" s="7" t="s">
        <v>10</v>
      </c>
      <c r="F1263" s="7" t="s">
        <v>124</v>
      </c>
      <c r="G1263" s="11">
        <v>25580.804736478367</v>
      </c>
    </row>
    <row r="1264" spans="1:7" hidden="1">
      <c r="A1264" t="str">
        <f t="shared" si="19"/>
        <v>USADO-07N1-Standard-MINI</v>
      </c>
      <c r="B1264" s="7" t="s">
        <v>39</v>
      </c>
      <c r="C1264" s="7" t="s">
        <v>85</v>
      </c>
      <c r="D1264" s="7" t="s">
        <v>259</v>
      </c>
      <c r="E1264" s="7" t="s">
        <v>33</v>
      </c>
      <c r="F1264" s="7" t="s">
        <v>124</v>
      </c>
      <c r="G1264" s="11">
        <v>17975.700625633446</v>
      </c>
    </row>
    <row r="1265" spans="1:7" hidden="1">
      <c r="A1265" t="str">
        <f t="shared" si="19"/>
        <v>USADO-07N2-Plus-MINI</v>
      </c>
      <c r="B1265" s="7" t="s">
        <v>39</v>
      </c>
      <c r="C1265" s="7" t="s">
        <v>89</v>
      </c>
      <c r="D1265" s="7"/>
      <c r="E1265" s="7" t="s">
        <v>10</v>
      </c>
      <c r="F1265" s="7" t="s">
        <v>124</v>
      </c>
      <c r="G1265" s="11">
        <v>31976.005920597956</v>
      </c>
    </row>
    <row r="1266" spans="1:7" hidden="1">
      <c r="A1266" t="str">
        <f t="shared" si="19"/>
        <v>USADO-07N4-Standard-MINI</v>
      </c>
      <c r="B1266" s="7" t="s">
        <v>39</v>
      </c>
      <c r="C1266" s="7" t="s">
        <v>94</v>
      </c>
      <c r="D1266" s="7" t="s">
        <v>260</v>
      </c>
      <c r="E1266" s="7" t="s">
        <v>33</v>
      </c>
      <c r="F1266" s="7" t="s">
        <v>124</v>
      </c>
      <c r="G1266" s="11">
        <v>21605.409405809431</v>
      </c>
    </row>
    <row r="1267" spans="1:7" hidden="1">
      <c r="A1267" t="str">
        <f t="shared" si="19"/>
        <v>USADO-07N5-Plus-MINI</v>
      </c>
      <c r="B1267" s="7" t="s">
        <v>39</v>
      </c>
      <c r="C1267" s="7" t="s">
        <v>98</v>
      </c>
      <c r="D1267" s="7"/>
      <c r="E1267" s="7" t="s">
        <v>10</v>
      </c>
      <c r="F1267" s="7" t="s">
        <v>124</v>
      </c>
      <c r="G1267" s="11">
        <v>37334.147453238693</v>
      </c>
    </row>
    <row r="1268" spans="1:7" hidden="1">
      <c r="A1268" t="str">
        <f t="shared" si="19"/>
        <v>USADO-07NW-Standard-MINI</v>
      </c>
      <c r="B1268" s="7" t="s">
        <v>39</v>
      </c>
      <c r="C1268" s="7" t="s">
        <v>103</v>
      </c>
      <c r="D1268" s="7" t="s">
        <v>261</v>
      </c>
      <c r="E1268" s="7" t="s">
        <v>33</v>
      </c>
      <c r="F1268" s="7" t="s">
        <v>124</v>
      </c>
      <c r="G1268" s="11">
        <v>13222.510556355372</v>
      </c>
    </row>
    <row r="1269" spans="1:7" hidden="1">
      <c r="A1269" t="str">
        <f t="shared" si="19"/>
        <v>USADO-07NK-Plus-MINI</v>
      </c>
      <c r="B1269" s="7" t="s">
        <v>39</v>
      </c>
      <c r="C1269" s="7" t="s">
        <v>107</v>
      </c>
      <c r="D1269" s="7"/>
      <c r="E1269" s="7" t="s">
        <v>10</v>
      </c>
      <c r="F1269" s="7" t="s">
        <v>124</v>
      </c>
      <c r="G1269" s="11">
        <v>22383.204144418571</v>
      </c>
    </row>
    <row r="1270" spans="1:7" hidden="1">
      <c r="A1270" t="str">
        <f t="shared" si="19"/>
        <v>USADO-07N7-Standard-MINI</v>
      </c>
      <c r="B1270" s="7" t="s">
        <v>39</v>
      </c>
      <c r="C1270" s="7" t="s">
        <v>112</v>
      </c>
      <c r="D1270" s="7" t="s">
        <v>262</v>
      </c>
      <c r="E1270" s="7" t="s">
        <v>33</v>
      </c>
      <c r="F1270" s="7" t="s">
        <v>124</v>
      </c>
      <c r="G1270" s="11">
        <v>15383.051496936314</v>
      </c>
    </row>
    <row r="1271" spans="1:7" hidden="1">
      <c r="A1271" t="str">
        <f t="shared" si="19"/>
        <v>USADO-07N8-Plus-MINI</v>
      </c>
      <c r="B1271" s="7" t="s">
        <v>39</v>
      </c>
      <c r="C1271" s="7" t="s">
        <v>116</v>
      </c>
      <c r="D1271" s="7"/>
      <c r="E1271" s="7" t="s">
        <v>10</v>
      </c>
      <c r="F1271" s="7" t="s">
        <v>124</v>
      </c>
      <c r="G1271" s="11">
        <v>25926.491286971315</v>
      </c>
    </row>
    <row r="1272" spans="1:7" hidden="1">
      <c r="A1272" t="str">
        <f t="shared" si="19"/>
        <v>USADO-07NH-Standard-MINI</v>
      </c>
      <c r="B1272" s="7" t="s">
        <v>39</v>
      </c>
      <c r="C1272" s="7" t="s">
        <v>121</v>
      </c>
      <c r="D1272" s="7" t="s">
        <v>263</v>
      </c>
      <c r="E1272" s="7" t="s">
        <v>33</v>
      </c>
      <c r="F1272" s="7" t="s">
        <v>124</v>
      </c>
      <c r="G1272" s="11">
        <v>18148.543900879922</v>
      </c>
    </row>
    <row r="1273" spans="1:7" hidden="1">
      <c r="A1273" t="str">
        <f t="shared" si="19"/>
        <v>USADO-07NA-Plus-MINI</v>
      </c>
      <c r="B1273" s="7" t="s">
        <v>39</v>
      </c>
      <c r="C1273" s="7" t="s">
        <v>125</v>
      </c>
      <c r="D1273" s="7"/>
      <c r="E1273" s="7" t="s">
        <v>10</v>
      </c>
      <c r="F1273" s="7" t="s">
        <v>124</v>
      </c>
      <c r="G1273" s="11">
        <v>32062.427558221196</v>
      </c>
    </row>
    <row r="1274" spans="1:7" hidden="1">
      <c r="A1274" t="str">
        <f t="shared" si="19"/>
        <v>USADO-07UA-Standard-MINI</v>
      </c>
      <c r="B1274" s="7" t="s">
        <v>39</v>
      </c>
      <c r="C1274" s="7" t="s">
        <v>130</v>
      </c>
      <c r="D1274" s="7" t="s">
        <v>264</v>
      </c>
      <c r="E1274" s="7" t="s">
        <v>33</v>
      </c>
      <c r="F1274" s="7" t="s">
        <v>124</v>
      </c>
      <c r="G1274" s="11">
        <v>22123.939231548859</v>
      </c>
    </row>
    <row r="1275" spans="1:7" hidden="1">
      <c r="A1275" t="str">
        <f t="shared" si="19"/>
        <v>USADO-07UB-Plus-MINI</v>
      </c>
      <c r="B1275" s="7" t="s">
        <v>39</v>
      </c>
      <c r="C1275" s="7" t="s">
        <v>133</v>
      </c>
      <c r="D1275" s="7"/>
      <c r="E1275" s="7" t="s">
        <v>10</v>
      </c>
      <c r="F1275" s="7" t="s">
        <v>124</v>
      </c>
      <c r="G1275" s="11">
        <v>38025.520554224597</v>
      </c>
    </row>
    <row r="1276" spans="1:7" hidden="1">
      <c r="A1276" t="str">
        <f t="shared" si="19"/>
        <v>USADO-07US-Standard-JCW</v>
      </c>
      <c r="B1276" s="7" t="s">
        <v>39</v>
      </c>
      <c r="C1276" s="7" t="s">
        <v>34</v>
      </c>
      <c r="D1276" s="7" t="s">
        <v>254</v>
      </c>
      <c r="E1276" s="7" t="s">
        <v>33</v>
      </c>
      <c r="F1276" s="7" t="s">
        <v>92</v>
      </c>
      <c r="G1276" s="11">
        <v>10024.909964295575</v>
      </c>
    </row>
    <row r="1277" spans="1:7" hidden="1">
      <c r="A1277" t="str">
        <f t="shared" si="19"/>
        <v>USADO-07D7-Plus-JCW</v>
      </c>
      <c r="B1277" s="7" t="s">
        <v>39</v>
      </c>
      <c r="C1277" s="7" t="s">
        <v>42</v>
      </c>
      <c r="D1277" s="7"/>
      <c r="E1277" s="7" t="s">
        <v>10</v>
      </c>
      <c r="F1277" s="7" t="s">
        <v>92</v>
      </c>
      <c r="G1277" s="11">
        <v>13741.040382094798</v>
      </c>
    </row>
    <row r="1278" spans="1:7" hidden="1">
      <c r="A1278" t="str">
        <f t="shared" si="19"/>
        <v>USADO-07NG-Standard-JCW</v>
      </c>
      <c r="B1278" s="7" t="s">
        <v>39</v>
      </c>
      <c r="C1278" s="7" t="s">
        <v>49</v>
      </c>
      <c r="D1278" s="7" t="s">
        <v>255</v>
      </c>
      <c r="E1278" s="7" t="s">
        <v>33</v>
      </c>
      <c r="F1278" s="7" t="s">
        <v>92</v>
      </c>
      <c r="G1278" s="11">
        <v>13913.883657341274</v>
      </c>
    </row>
    <row r="1279" spans="1:7" hidden="1">
      <c r="A1279" t="str">
        <f t="shared" si="19"/>
        <v>USADO-07NM-Plus-JCW</v>
      </c>
      <c r="B1279" s="7" t="s">
        <v>39</v>
      </c>
      <c r="C1279" s="7" t="s">
        <v>53</v>
      </c>
      <c r="D1279" s="7"/>
      <c r="E1279" s="7" t="s">
        <v>10</v>
      </c>
      <c r="F1279" s="7" t="s">
        <v>92</v>
      </c>
      <c r="G1279" s="11">
        <v>23074.577245404471</v>
      </c>
    </row>
    <row r="1280" spans="1:7" hidden="1">
      <c r="A1280" t="str">
        <f t="shared" si="19"/>
        <v>USADO-07DA-Standard-JCW</v>
      </c>
      <c r="B1280" s="7" t="s">
        <v>39</v>
      </c>
      <c r="C1280" s="7" t="s">
        <v>58</v>
      </c>
      <c r="D1280" s="7" t="s">
        <v>256</v>
      </c>
      <c r="E1280" s="7" t="s">
        <v>33</v>
      </c>
      <c r="F1280" s="7" t="s">
        <v>92</v>
      </c>
      <c r="G1280" s="11">
        <v>19185.603552358774</v>
      </c>
    </row>
    <row r="1281" spans="1:7" hidden="1">
      <c r="A1281" t="str">
        <f t="shared" si="19"/>
        <v>USADO-07DB-Plus-JCW</v>
      </c>
      <c r="B1281" s="7" t="s">
        <v>39</v>
      </c>
      <c r="C1281" s="7" t="s">
        <v>62</v>
      </c>
      <c r="D1281" s="7"/>
      <c r="E1281" s="7" t="s">
        <v>10</v>
      </c>
      <c r="F1281" s="7" t="s">
        <v>92</v>
      </c>
      <c r="G1281" s="11">
        <v>32494.535746337384</v>
      </c>
    </row>
    <row r="1282" spans="1:7" hidden="1">
      <c r="A1282" t="str">
        <f t="shared" si="19"/>
        <v>USADO-07DD-Standard-JCW</v>
      </c>
      <c r="B1282" s="7" t="s">
        <v>39</v>
      </c>
      <c r="C1282" s="7" t="s">
        <v>67</v>
      </c>
      <c r="D1282" s="7" t="s">
        <v>257</v>
      </c>
      <c r="E1282" s="7" t="s">
        <v>33</v>
      </c>
      <c r="F1282" s="7" t="s">
        <v>92</v>
      </c>
      <c r="G1282" s="11">
        <v>13913.883657341274</v>
      </c>
    </row>
    <row r="1283" spans="1:7" hidden="1">
      <c r="A1283" t="str">
        <f t="shared" si="19"/>
        <v>USADO-07DE-Plus-JCW</v>
      </c>
      <c r="B1283" s="7" t="s">
        <v>39</v>
      </c>
      <c r="C1283" s="7" t="s">
        <v>71</v>
      </c>
      <c r="D1283" s="7"/>
      <c r="E1283" s="7" t="s">
        <v>10</v>
      </c>
      <c r="F1283" s="7" t="s">
        <v>92</v>
      </c>
      <c r="G1283" s="11">
        <v>23160.998883027711</v>
      </c>
    </row>
    <row r="1284" spans="1:7" hidden="1">
      <c r="A1284" t="str">
        <f t="shared" si="19"/>
        <v>USADO-07NX-Standard-JCW</v>
      </c>
      <c r="B1284" s="7" t="s">
        <v>39</v>
      </c>
      <c r="C1284" s="7" t="s">
        <v>76</v>
      </c>
      <c r="D1284" s="7" t="s">
        <v>258</v>
      </c>
      <c r="E1284" s="7" t="s">
        <v>33</v>
      </c>
      <c r="F1284" s="7" t="s">
        <v>92</v>
      </c>
      <c r="G1284" s="11">
        <v>15901.58132267574</v>
      </c>
    </row>
    <row r="1285" spans="1:7" hidden="1">
      <c r="A1285" t="str">
        <f t="shared" si="19"/>
        <v>USADO-07NY-Plus-JCW</v>
      </c>
      <c r="B1285" s="7" t="s">
        <v>39</v>
      </c>
      <c r="C1285" s="7" t="s">
        <v>80</v>
      </c>
      <c r="D1285" s="7"/>
      <c r="E1285" s="7" t="s">
        <v>10</v>
      </c>
      <c r="F1285" s="7" t="s">
        <v>92</v>
      </c>
      <c r="G1285" s="11">
        <v>26790.707663203695</v>
      </c>
    </row>
    <row r="1286" spans="1:7" hidden="1">
      <c r="A1286" t="str">
        <f t="shared" si="19"/>
        <v>USADO-07N1-Standard-JCW</v>
      </c>
      <c r="B1286" s="7" t="s">
        <v>39</v>
      </c>
      <c r="C1286" s="7" t="s">
        <v>85</v>
      </c>
      <c r="D1286" s="7" t="s">
        <v>259</v>
      </c>
      <c r="E1286" s="7" t="s">
        <v>33</v>
      </c>
      <c r="F1286" s="7" t="s">
        <v>92</v>
      </c>
      <c r="G1286" s="11">
        <v>19272.02518998201</v>
      </c>
    </row>
    <row r="1287" spans="1:7" hidden="1">
      <c r="A1287" t="str">
        <f t="shared" si="19"/>
        <v>USADO-07N2-Plus-JCW</v>
      </c>
      <c r="B1287" s="7" t="s">
        <v>39</v>
      </c>
      <c r="C1287" s="7" t="s">
        <v>89</v>
      </c>
      <c r="D1287" s="7"/>
      <c r="E1287" s="7" t="s">
        <v>10</v>
      </c>
      <c r="F1287" s="7" t="s">
        <v>92</v>
      </c>
      <c r="G1287" s="11">
        <v>33099.487209700048</v>
      </c>
    </row>
    <row r="1288" spans="1:7" hidden="1">
      <c r="A1288" t="str">
        <f t="shared" si="19"/>
        <v>USADO-07N4-Standard-JCW</v>
      </c>
      <c r="B1288" s="7" t="s">
        <v>39</v>
      </c>
      <c r="C1288" s="7" t="s">
        <v>94</v>
      </c>
      <c r="D1288" s="7" t="s">
        <v>260</v>
      </c>
      <c r="E1288" s="7" t="s">
        <v>33</v>
      </c>
      <c r="F1288" s="7" t="s">
        <v>92</v>
      </c>
      <c r="G1288" s="11">
        <v>23074.577245404471</v>
      </c>
    </row>
    <row r="1289" spans="1:7" hidden="1">
      <c r="A1289" t="str">
        <f t="shared" si="19"/>
        <v>USADO-07N5-Plus-JCW</v>
      </c>
      <c r="B1289" s="7" t="s">
        <v>39</v>
      </c>
      <c r="C1289" s="7" t="s">
        <v>98</v>
      </c>
      <c r="D1289" s="7"/>
      <c r="E1289" s="7" t="s">
        <v>10</v>
      </c>
      <c r="F1289" s="7" t="s">
        <v>92</v>
      </c>
      <c r="G1289" s="11">
        <v>39149.001843326689</v>
      </c>
    </row>
    <row r="1290" spans="1:7" hidden="1">
      <c r="A1290" t="str">
        <f t="shared" si="19"/>
        <v>USADO-07NW-Standard-JCW</v>
      </c>
      <c r="B1290" s="7" t="s">
        <v>39</v>
      </c>
      <c r="C1290" s="7" t="s">
        <v>103</v>
      </c>
      <c r="D1290" s="7" t="s">
        <v>261</v>
      </c>
      <c r="E1290" s="7" t="s">
        <v>33</v>
      </c>
      <c r="F1290" s="7" t="s">
        <v>92</v>
      </c>
      <c r="G1290" s="11">
        <v>14259.570207834224</v>
      </c>
    </row>
    <row r="1291" spans="1:7" hidden="1">
      <c r="A1291" t="str">
        <f t="shared" si="19"/>
        <v>USADO-07NK-Plus-JCW</v>
      </c>
      <c r="B1291" s="7" t="s">
        <v>39</v>
      </c>
      <c r="C1291" s="7" t="s">
        <v>107</v>
      </c>
      <c r="D1291" s="7"/>
      <c r="E1291" s="7" t="s">
        <v>10</v>
      </c>
      <c r="F1291" s="7" t="s">
        <v>92</v>
      </c>
      <c r="G1291" s="11">
        <v>23506.685433520659</v>
      </c>
    </row>
    <row r="1292" spans="1:7" hidden="1">
      <c r="A1292" t="str">
        <f t="shared" si="19"/>
        <v>USADO-07N7-Standard-JCW</v>
      </c>
      <c r="B1292" s="7" t="s">
        <v>39</v>
      </c>
      <c r="C1292" s="7" t="s">
        <v>112</v>
      </c>
      <c r="D1292" s="7" t="s">
        <v>262</v>
      </c>
      <c r="E1292" s="7" t="s">
        <v>33</v>
      </c>
      <c r="F1292" s="7" t="s">
        <v>92</v>
      </c>
      <c r="G1292" s="11">
        <v>16333.68951079193</v>
      </c>
    </row>
    <row r="1293" spans="1:7" hidden="1">
      <c r="A1293" t="str">
        <f t="shared" si="19"/>
        <v>USADO-07N8-Plus-JCW</v>
      </c>
      <c r="B1293" s="7" t="s">
        <v>39</v>
      </c>
      <c r="C1293" s="7" t="s">
        <v>116</v>
      </c>
      <c r="D1293" s="7"/>
      <c r="E1293" s="7" t="s">
        <v>10</v>
      </c>
      <c r="F1293" s="7" t="s">
        <v>92</v>
      </c>
      <c r="G1293" s="11">
        <v>27222.815851319883</v>
      </c>
    </row>
    <row r="1294" spans="1:7" hidden="1">
      <c r="A1294" t="str">
        <f t="shared" ref="A1294:A1357" si="20">B1294&amp;"-"&amp;C1294&amp;"-"&amp;E1294&amp;"-"&amp;F1294</f>
        <v>USADO-07NH-Standard-JCW</v>
      </c>
      <c r="B1294" s="7" t="s">
        <v>39</v>
      </c>
      <c r="C1294" s="7" t="s">
        <v>121</v>
      </c>
      <c r="D1294" s="7" t="s">
        <v>263</v>
      </c>
      <c r="E1294" s="7" t="s">
        <v>33</v>
      </c>
      <c r="F1294" s="7" t="s">
        <v>92</v>
      </c>
      <c r="G1294" s="11">
        <v>19444.868465228486</v>
      </c>
    </row>
    <row r="1295" spans="1:7" hidden="1">
      <c r="A1295" t="str">
        <f t="shared" si="20"/>
        <v>USADO-07NA-Plus-JCW</v>
      </c>
      <c r="B1295" s="7" t="s">
        <v>39</v>
      </c>
      <c r="C1295" s="7" t="s">
        <v>125</v>
      </c>
      <c r="D1295" s="7"/>
      <c r="E1295" s="7" t="s">
        <v>10</v>
      </c>
      <c r="F1295" s="7" t="s">
        <v>92</v>
      </c>
      <c r="G1295" s="11">
        <v>33272.33048494652</v>
      </c>
    </row>
    <row r="1296" spans="1:7" hidden="1">
      <c r="A1296" t="str">
        <f t="shared" si="20"/>
        <v>USADO-07UA-Standard-JCW</v>
      </c>
      <c r="B1296" s="7" t="s">
        <v>39</v>
      </c>
      <c r="C1296" s="7" t="s">
        <v>130</v>
      </c>
      <c r="D1296" s="7" t="s">
        <v>264</v>
      </c>
      <c r="E1296" s="7" t="s">
        <v>33</v>
      </c>
      <c r="F1296" s="7" t="s">
        <v>92</v>
      </c>
      <c r="G1296" s="11">
        <v>23765.950346390375</v>
      </c>
    </row>
    <row r="1297" spans="1:7" hidden="1">
      <c r="A1297" t="str">
        <f t="shared" si="20"/>
        <v>USADO-07UB-Plus-JCW</v>
      </c>
      <c r="B1297" s="7" t="s">
        <v>39</v>
      </c>
      <c r="C1297" s="7" t="s">
        <v>133</v>
      </c>
      <c r="D1297" s="7"/>
      <c r="E1297" s="7" t="s">
        <v>10</v>
      </c>
      <c r="F1297" s="7" t="s">
        <v>92</v>
      </c>
      <c r="G1297" s="11">
        <v>39926.796581935829</v>
      </c>
    </row>
    <row r="1298" spans="1:7" hidden="1">
      <c r="A1298" t="str">
        <f t="shared" si="20"/>
        <v>USADO-07US-Standard-MINI BEV</v>
      </c>
      <c r="B1298" s="7" t="s">
        <v>39</v>
      </c>
      <c r="C1298" s="7" t="s">
        <v>34</v>
      </c>
      <c r="D1298" s="7" t="s">
        <v>254</v>
      </c>
      <c r="E1298" s="7" t="s">
        <v>33</v>
      </c>
      <c r="F1298" s="7" t="s">
        <v>128</v>
      </c>
      <c r="G1298" s="54">
        <v>3839.5151204108147</v>
      </c>
    </row>
    <row r="1299" spans="1:7" hidden="1">
      <c r="A1299" t="str">
        <f t="shared" si="20"/>
        <v>USADO-07D7-Plus-MINI BEV</v>
      </c>
      <c r="B1299" s="7" t="s">
        <v>39</v>
      </c>
      <c r="C1299" s="7" t="s">
        <v>42</v>
      </c>
      <c r="D1299" s="7"/>
      <c r="E1299" s="7" t="s">
        <v>10</v>
      </c>
      <c r="F1299" s="7" t="s">
        <v>128</v>
      </c>
      <c r="G1299" s="54">
        <v>6005.3954447451206</v>
      </c>
    </row>
    <row r="1300" spans="1:7" hidden="1">
      <c r="A1300" t="str">
        <f t="shared" si="20"/>
        <v>USADO-07NG-Standard-MINI BEV</v>
      </c>
      <c r="B1300" s="7" t="s">
        <v>39</v>
      </c>
      <c r="C1300" s="7" t="s">
        <v>49</v>
      </c>
      <c r="D1300" s="7" t="s">
        <v>255</v>
      </c>
      <c r="E1300" s="7" t="s">
        <v>33</v>
      </c>
      <c r="F1300" s="7" t="s">
        <v>128</v>
      </c>
      <c r="G1300" s="54">
        <v>3937.9642260623741</v>
      </c>
    </row>
    <row r="1301" spans="1:7" hidden="1">
      <c r="A1301" t="str">
        <f t="shared" si="20"/>
        <v>USADO-07NM-Plus-MINI BEV</v>
      </c>
      <c r="B1301" s="7" t="s">
        <v>39</v>
      </c>
      <c r="C1301" s="7" t="s">
        <v>53</v>
      </c>
      <c r="D1301" s="7"/>
      <c r="E1301" s="7" t="s">
        <v>10</v>
      </c>
      <c r="F1301" s="7" t="s">
        <v>128</v>
      </c>
      <c r="G1301" s="54">
        <v>8368.173980382544</v>
      </c>
    </row>
    <row r="1302" spans="1:7" hidden="1">
      <c r="A1302" t="str">
        <f t="shared" si="20"/>
        <v>USADO-07DA-Standard-MINI BEV</v>
      </c>
      <c r="B1302" s="7" t="s">
        <v>39</v>
      </c>
      <c r="C1302" s="7" t="s">
        <v>58</v>
      </c>
      <c r="D1302" s="7" t="s">
        <v>256</v>
      </c>
      <c r="E1302" s="7" t="s">
        <v>33</v>
      </c>
      <c r="F1302" s="7" t="s">
        <v>128</v>
      </c>
      <c r="G1302" s="54">
        <v>4036.4133317139335</v>
      </c>
    </row>
    <row r="1303" spans="1:7" hidden="1">
      <c r="A1303" t="str">
        <f t="shared" si="20"/>
        <v>USADO-07DB-Plus-MINI BEV</v>
      </c>
      <c r="B1303" s="7" t="s">
        <v>39</v>
      </c>
      <c r="C1303" s="7" t="s">
        <v>62</v>
      </c>
      <c r="D1303" s="7"/>
      <c r="E1303" s="7" t="s">
        <v>10</v>
      </c>
      <c r="F1303" s="7" t="s">
        <v>128</v>
      </c>
      <c r="G1303" s="54">
        <v>14176.671213824546</v>
      </c>
    </row>
    <row r="1304" spans="1:7" hidden="1">
      <c r="A1304" t="str">
        <f t="shared" si="20"/>
        <v>USADO-07DD-Standard-MINI BEV</v>
      </c>
      <c r="B1304" s="7" t="s">
        <v>39</v>
      </c>
      <c r="C1304" s="7" t="s">
        <v>67</v>
      </c>
      <c r="D1304" s="7" t="s">
        <v>257</v>
      </c>
      <c r="E1304" s="7" t="s">
        <v>33</v>
      </c>
      <c r="F1304" s="7" t="s">
        <v>128</v>
      </c>
      <c r="G1304" s="54">
        <v>5020.9043882295273</v>
      </c>
    </row>
    <row r="1305" spans="1:7" hidden="1">
      <c r="A1305" t="str">
        <f t="shared" si="20"/>
        <v>USADO-07DE-Plus-MINI BEV</v>
      </c>
      <c r="B1305" s="7" t="s">
        <v>39</v>
      </c>
      <c r="C1305" s="7" t="s">
        <v>71</v>
      </c>
      <c r="D1305" s="7"/>
      <c r="E1305" s="7" t="s">
        <v>10</v>
      </c>
      <c r="F1305" s="7" t="s">
        <v>128</v>
      </c>
      <c r="G1305" s="54">
        <v>8761.9704029887816</v>
      </c>
    </row>
    <row r="1306" spans="1:7" hidden="1">
      <c r="A1306" t="str">
        <f t="shared" si="20"/>
        <v>USADO-07NX-Standard-MINI BEV</v>
      </c>
      <c r="B1306" s="7" t="s">
        <v>39</v>
      </c>
      <c r="C1306" s="7" t="s">
        <v>76</v>
      </c>
      <c r="D1306" s="7" t="s">
        <v>258</v>
      </c>
      <c r="E1306" s="7" t="s">
        <v>33</v>
      </c>
      <c r="F1306" s="7" t="s">
        <v>128</v>
      </c>
      <c r="G1306" s="54">
        <v>5217.8025995326452</v>
      </c>
    </row>
    <row r="1307" spans="1:7" hidden="1">
      <c r="A1307" t="str">
        <f t="shared" si="20"/>
        <v>USADO-07NY-Plus-MINI BEV</v>
      </c>
      <c r="B1307" s="7" t="s">
        <v>39</v>
      </c>
      <c r="C1307" s="7" t="s">
        <v>80</v>
      </c>
      <c r="D1307" s="7"/>
      <c r="E1307" s="7" t="s">
        <v>10</v>
      </c>
      <c r="F1307" s="7" t="s">
        <v>128</v>
      </c>
      <c r="G1307" s="54">
        <v>12404.587312096479</v>
      </c>
    </row>
    <row r="1308" spans="1:7" hidden="1">
      <c r="A1308" t="str">
        <f t="shared" si="20"/>
        <v>USADO-07N1-Standard-MINI BEV</v>
      </c>
      <c r="B1308" s="7" t="s">
        <v>39</v>
      </c>
      <c r="C1308" s="7" t="s">
        <v>85</v>
      </c>
      <c r="D1308" s="7" t="s">
        <v>259</v>
      </c>
      <c r="E1308" s="7" t="s">
        <v>33</v>
      </c>
      <c r="F1308" s="7" t="s">
        <v>128</v>
      </c>
      <c r="G1308" s="54">
        <v>5316.2517051842051</v>
      </c>
    </row>
    <row r="1309" spans="1:7" hidden="1">
      <c r="A1309" t="str">
        <f t="shared" si="20"/>
        <v>USADO-07N2-Plus-MINI BEV</v>
      </c>
      <c r="B1309" s="7" t="s">
        <v>39</v>
      </c>
      <c r="C1309" s="7" t="s">
        <v>89</v>
      </c>
      <c r="D1309" s="7"/>
      <c r="E1309" s="7" t="s">
        <v>10</v>
      </c>
      <c r="F1309" s="7" t="s">
        <v>128</v>
      </c>
      <c r="G1309" s="54">
        <v>18213.084545538481</v>
      </c>
    </row>
    <row r="1310" spans="1:7" hidden="1">
      <c r="A1310" t="str">
        <f t="shared" si="20"/>
        <v>USADO-07N4-Standard-MINI BEV</v>
      </c>
      <c r="B1310" s="7" t="s">
        <v>39</v>
      </c>
      <c r="C1310" s="7" t="s">
        <v>94</v>
      </c>
      <c r="D1310" s="7" t="s">
        <v>260</v>
      </c>
      <c r="E1310" s="7" t="s">
        <v>33</v>
      </c>
      <c r="F1310" s="7" t="s">
        <v>128</v>
      </c>
      <c r="G1310" s="54">
        <v>5414.7008108357641</v>
      </c>
    </row>
    <row r="1311" spans="1:7" hidden="1">
      <c r="A1311" t="str">
        <f t="shared" si="20"/>
        <v>USADO-07N5-Plus-MINI BEV</v>
      </c>
      <c r="B1311" s="7" t="s">
        <v>39</v>
      </c>
      <c r="C1311" s="7" t="s">
        <v>98</v>
      </c>
      <c r="D1311" s="7"/>
      <c r="E1311" s="7" t="s">
        <v>10</v>
      </c>
      <c r="F1311" s="7" t="s">
        <v>128</v>
      </c>
      <c r="G1311" s="54">
        <v>18803.779179447836</v>
      </c>
    </row>
    <row r="1312" spans="1:7" hidden="1">
      <c r="A1312" t="str">
        <f t="shared" si="20"/>
        <v>USADO-07NW-Standard-MINI BEV</v>
      </c>
      <c r="B1312" s="7" t="s">
        <v>39</v>
      </c>
      <c r="C1312" s="7" t="s">
        <v>103</v>
      </c>
      <c r="D1312" s="7" t="s">
        <v>261</v>
      </c>
      <c r="E1312" s="7" t="s">
        <v>33</v>
      </c>
      <c r="F1312" s="7" t="s">
        <v>128</v>
      </c>
      <c r="G1312" s="54">
        <v>5710.0481277904419</v>
      </c>
    </row>
    <row r="1313" spans="1:7" hidden="1">
      <c r="A1313" t="str">
        <f t="shared" si="20"/>
        <v>USADO-07NK-Plus-MINI BEV</v>
      </c>
      <c r="B1313" s="7" t="s">
        <v>39</v>
      </c>
      <c r="C1313" s="7" t="s">
        <v>107</v>
      </c>
      <c r="D1313" s="7"/>
      <c r="E1313" s="7" t="s">
        <v>10</v>
      </c>
      <c r="F1313" s="7" t="s">
        <v>128</v>
      </c>
      <c r="G1313" s="54">
        <v>12404.587312096479</v>
      </c>
    </row>
    <row r="1314" spans="1:7" hidden="1">
      <c r="A1314" t="str">
        <f t="shared" si="20"/>
        <v>USADO-07N7-Standard-MINI BEV</v>
      </c>
      <c r="B1314" s="7" t="s">
        <v>39</v>
      </c>
      <c r="C1314" s="7" t="s">
        <v>112</v>
      </c>
      <c r="D1314" s="7" t="s">
        <v>262</v>
      </c>
      <c r="E1314" s="7" t="s">
        <v>33</v>
      </c>
      <c r="F1314" s="7" t="s">
        <v>128</v>
      </c>
      <c r="G1314" s="54">
        <v>5808.4972334420017</v>
      </c>
    </row>
    <row r="1315" spans="1:7" hidden="1">
      <c r="A1315" t="str">
        <f t="shared" si="20"/>
        <v>USADO-07N8-Plus-MINI BEV</v>
      </c>
      <c r="B1315" s="7" t="s">
        <v>39</v>
      </c>
      <c r="C1315" s="7" t="s">
        <v>116</v>
      </c>
      <c r="D1315" s="7"/>
      <c r="E1315" s="7" t="s">
        <v>10</v>
      </c>
      <c r="F1315" s="7" t="s">
        <v>128</v>
      </c>
      <c r="G1315" s="54">
        <v>16736.347960765088</v>
      </c>
    </row>
    <row r="1316" spans="1:7" hidden="1">
      <c r="A1316" t="str">
        <f t="shared" si="20"/>
        <v>USADO-07NH-Standard-MINI BEV</v>
      </c>
      <c r="B1316" s="7" t="s">
        <v>39</v>
      </c>
      <c r="C1316" s="7" t="s">
        <v>121</v>
      </c>
      <c r="D1316" s="7" t="s">
        <v>263</v>
      </c>
      <c r="E1316" s="7" t="s">
        <v>33</v>
      </c>
      <c r="F1316" s="7" t="s">
        <v>128</v>
      </c>
      <c r="G1316" s="54">
        <v>5906.9463390935607</v>
      </c>
    </row>
    <row r="1317" spans="1:7" hidden="1">
      <c r="A1317" t="str">
        <f t="shared" si="20"/>
        <v>USADO-07NA-Plus-MINI BEV</v>
      </c>
      <c r="B1317" s="7" t="s">
        <v>39</v>
      </c>
      <c r="C1317" s="7" t="s">
        <v>125</v>
      </c>
      <c r="D1317" s="7"/>
      <c r="E1317" s="7" t="s">
        <v>10</v>
      </c>
      <c r="F1317" s="7" t="s">
        <v>128</v>
      </c>
      <c r="G1317" s="54">
        <v>18606.880968144716</v>
      </c>
    </row>
    <row r="1318" spans="1:7" hidden="1">
      <c r="A1318" t="str">
        <f t="shared" si="20"/>
        <v>USADO-07UA-Standard-MINI BEV</v>
      </c>
      <c r="B1318" s="7" t="s">
        <v>39</v>
      </c>
      <c r="C1318" s="7" t="s">
        <v>130</v>
      </c>
      <c r="D1318" s="7" t="s">
        <v>264</v>
      </c>
      <c r="E1318" s="7" t="s">
        <v>33</v>
      </c>
      <c r="F1318" s="7" t="s">
        <v>128</v>
      </c>
      <c r="G1318" s="54">
        <v>7777.4793464731883</v>
      </c>
    </row>
    <row r="1319" spans="1:7" hidden="1">
      <c r="A1319" t="str">
        <f t="shared" si="20"/>
        <v>USADO-07UB-Plus-MINI BEV</v>
      </c>
      <c r="B1319" s="7" t="s">
        <v>39</v>
      </c>
      <c r="C1319" s="7" t="s">
        <v>133</v>
      </c>
      <c r="D1319" s="7"/>
      <c r="E1319" s="7" t="s">
        <v>10</v>
      </c>
      <c r="F1319" s="7" t="s">
        <v>128</v>
      </c>
      <c r="G1319" s="54">
        <v>22151.048771600854</v>
      </c>
    </row>
    <row r="1320" spans="1:7" hidden="1">
      <c r="A1320" t="str">
        <f t="shared" si="20"/>
        <v>USADO-07US-Standard-I3 REX</v>
      </c>
      <c r="B1320" s="7" t="s">
        <v>39</v>
      </c>
      <c r="C1320" s="7" t="s">
        <v>34</v>
      </c>
      <c r="D1320" s="7" t="s">
        <v>254</v>
      </c>
      <c r="E1320" s="7" t="s">
        <v>33</v>
      </c>
      <c r="F1320" s="7" t="s">
        <v>83</v>
      </c>
      <c r="G1320" s="11">
        <v>8901.4286751934851</v>
      </c>
    </row>
    <row r="1321" spans="1:7" hidden="1">
      <c r="A1321" t="str">
        <f t="shared" si="20"/>
        <v>USADO-07D7-Plus-I3 REX</v>
      </c>
      <c r="B1321" s="7" t="s">
        <v>39</v>
      </c>
      <c r="C1321" s="7" t="s">
        <v>42</v>
      </c>
      <c r="D1321" s="7"/>
      <c r="E1321" s="7" t="s">
        <v>10</v>
      </c>
      <c r="F1321" s="7" t="s">
        <v>83</v>
      </c>
      <c r="G1321" s="11">
        <v>14259.570207834224</v>
      </c>
    </row>
    <row r="1322" spans="1:7" hidden="1">
      <c r="A1322" t="str">
        <f t="shared" si="20"/>
        <v>USADO-07NG-Standard-I3 REX</v>
      </c>
      <c r="B1322" s="7" t="s">
        <v>39</v>
      </c>
      <c r="C1322" s="7" t="s">
        <v>49</v>
      </c>
      <c r="D1322" s="7" t="s">
        <v>255</v>
      </c>
      <c r="E1322" s="7" t="s">
        <v>33</v>
      </c>
      <c r="F1322" s="7" t="s">
        <v>83</v>
      </c>
      <c r="G1322" s="11">
        <v>9333.5368633096732</v>
      </c>
    </row>
    <row r="1323" spans="1:7" hidden="1">
      <c r="A1323" t="str">
        <f t="shared" si="20"/>
        <v>USADO-07NM-Plus-I3 REX</v>
      </c>
      <c r="B1323" s="7" t="s">
        <v>39</v>
      </c>
      <c r="C1323" s="7" t="s">
        <v>53</v>
      </c>
      <c r="D1323" s="7"/>
      <c r="E1323" s="7" t="s">
        <v>10</v>
      </c>
      <c r="F1323" s="7" t="s">
        <v>83</v>
      </c>
      <c r="G1323" s="11">
        <v>17716.435712763734</v>
      </c>
    </row>
    <row r="1324" spans="1:7" hidden="1">
      <c r="A1324" t="str">
        <f t="shared" si="20"/>
        <v>USADO-07DA-Standard-I3 REX</v>
      </c>
      <c r="B1324" s="7" t="s">
        <v>39</v>
      </c>
      <c r="C1324" s="7" t="s">
        <v>58</v>
      </c>
      <c r="D1324" s="7" t="s">
        <v>256</v>
      </c>
      <c r="E1324" s="7" t="s">
        <v>33</v>
      </c>
      <c r="F1324" s="7" t="s">
        <v>83</v>
      </c>
      <c r="G1324" s="11">
        <v>10111.331601918813</v>
      </c>
    </row>
    <row r="1325" spans="1:7" hidden="1">
      <c r="A1325" t="str">
        <f t="shared" si="20"/>
        <v>USADO-07DB-Plus-I3 REX</v>
      </c>
      <c r="B1325" s="7" t="s">
        <v>39</v>
      </c>
      <c r="C1325" s="7" t="s">
        <v>62</v>
      </c>
      <c r="D1325" s="7"/>
      <c r="E1325" s="7" t="s">
        <v>10</v>
      </c>
      <c r="F1325" s="7" t="s">
        <v>83</v>
      </c>
      <c r="G1325" s="11">
        <v>22642.469057288283</v>
      </c>
    </row>
    <row r="1326" spans="1:7" hidden="1">
      <c r="A1326" t="str">
        <f t="shared" si="20"/>
        <v>USADO-07DD-Standard-I3 REX</v>
      </c>
      <c r="B1326" s="7" t="s">
        <v>39</v>
      </c>
      <c r="C1326" s="7" t="s">
        <v>67</v>
      </c>
      <c r="D1326" s="7" t="s">
        <v>257</v>
      </c>
      <c r="E1326" s="7" t="s">
        <v>33</v>
      </c>
      <c r="F1326" s="7" t="s">
        <v>83</v>
      </c>
      <c r="G1326" s="11">
        <v>11666.921079137092</v>
      </c>
    </row>
    <row r="1327" spans="1:7" hidden="1">
      <c r="A1327" t="str">
        <f t="shared" si="20"/>
        <v>USADO-07DE-Plus-I3 REX</v>
      </c>
      <c r="B1327" s="7" t="s">
        <v>39</v>
      </c>
      <c r="C1327" s="7" t="s">
        <v>71</v>
      </c>
      <c r="D1327" s="7"/>
      <c r="E1327" s="7" t="s">
        <v>10</v>
      </c>
      <c r="F1327" s="7" t="s">
        <v>83</v>
      </c>
      <c r="G1327" s="11">
        <v>20222.663203837626</v>
      </c>
    </row>
    <row r="1328" spans="1:7" hidden="1">
      <c r="A1328" t="str">
        <f t="shared" si="20"/>
        <v>USADO-07NX-Standard-I3 REX</v>
      </c>
      <c r="B1328" s="7" t="s">
        <v>39</v>
      </c>
      <c r="C1328" s="7" t="s">
        <v>76</v>
      </c>
      <c r="D1328" s="7" t="s">
        <v>258</v>
      </c>
      <c r="E1328" s="7" t="s">
        <v>33</v>
      </c>
      <c r="F1328" s="7" t="s">
        <v>83</v>
      </c>
      <c r="G1328" s="11">
        <v>11839.764354383567</v>
      </c>
    </row>
    <row r="1329" spans="1:7" hidden="1">
      <c r="A1329" t="str">
        <f t="shared" si="20"/>
        <v>USADO-07NY-Plus-I3 REX</v>
      </c>
      <c r="B1329" s="7" t="s">
        <v>39</v>
      </c>
      <c r="C1329" s="7" t="s">
        <v>80</v>
      </c>
      <c r="D1329" s="7"/>
      <c r="E1329" s="7" t="s">
        <v>10</v>
      </c>
      <c r="F1329" s="7" t="s">
        <v>83</v>
      </c>
      <c r="G1329" s="11">
        <v>24543.745084999511</v>
      </c>
    </row>
    <row r="1330" spans="1:7" hidden="1">
      <c r="A1330" t="str">
        <f t="shared" si="20"/>
        <v>USADO-07N1-Standard-I3 REX</v>
      </c>
      <c r="B1330" s="7" t="s">
        <v>39</v>
      </c>
      <c r="C1330" s="7" t="s">
        <v>85</v>
      </c>
      <c r="D1330" s="7" t="s">
        <v>259</v>
      </c>
      <c r="E1330" s="7" t="s">
        <v>33</v>
      </c>
      <c r="F1330" s="7" t="s">
        <v>83</v>
      </c>
      <c r="G1330" s="11">
        <v>12185.450904876519</v>
      </c>
    </row>
    <row r="1331" spans="1:7" hidden="1">
      <c r="A1331" t="str">
        <f t="shared" si="20"/>
        <v>USADO-07N2-Plus-I3 REX</v>
      </c>
      <c r="B1331" s="7" t="s">
        <v>39</v>
      </c>
      <c r="C1331" s="7" t="s">
        <v>89</v>
      </c>
      <c r="D1331" s="7"/>
      <c r="E1331" s="7" t="s">
        <v>10</v>
      </c>
      <c r="F1331" s="7" t="s">
        <v>83</v>
      </c>
      <c r="G1331" s="11">
        <v>24889.431635492463</v>
      </c>
    </row>
    <row r="1332" spans="1:7" hidden="1">
      <c r="A1332" t="str">
        <f t="shared" si="20"/>
        <v>USADO-07N4-Standard-I3 REX</v>
      </c>
      <c r="B1332" s="7" t="s">
        <v>39</v>
      </c>
      <c r="C1332" s="7" t="s">
        <v>94</v>
      </c>
      <c r="D1332" s="7" t="s">
        <v>260</v>
      </c>
      <c r="E1332" s="7" t="s">
        <v>33</v>
      </c>
      <c r="F1332" s="7" t="s">
        <v>83</v>
      </c>
      <c r="G1332" s="11">
        <v>13136.088918732134</v>
      </c>
    </row>
    <row r="1333" spans="1:7" hidden="1">
      <c r="A1333" t="str">
        <f t="shared" si="20"/>
        <v>USADO-07N5-Plus-I3 REX</v>
      </c>
      <c r="B1333" s="7" t="s">
        <v>39</v>
      </c>
      <c r="C1333" s="7" t="s">
        <v>98</v>
      </c>
      <c r="D1333" s="7"/>
      <c r="E1333" s="7" t="s">
        <v>10</v>
      </c>
      <c r="F1333" s="7" t="s">
        <v>83</v>
      </c>
      <c r="G1333" s="11">
        <v>28691.983690914923</v>
      </c>
    </row>
    <row r="1334" spans="1:7" hidden="1">
      <c r="A1334" t="str">
        <f t="shared" si="20"/>
        <v>USADO-07NW-Standard-I3 REX</v>
      </c>
      <c r="B1334" s="7" t="s">
        <v>39</v>
      </c>
      <c r="C1334" s="7" t="s">
        <v>103</v>
      </c>
      <c r="D1334" s="7" t="s">
        <v>261</v>
      </c>
      <c r="E1334" s="7" t="s">
        <v>33</v>
      </c>
      <c r="F1334" s="7" t="s">
        <v>83</v>
      </c>
      <c r="G1334" s="11">
        <v>13395.353831601848</v>
      </c>
    </row>
    <row r="1335" spans="1:7" hidden="1">
      <c r="A1335" t="str">
        <f t="shared" si="20"/>
        <v>USADO-07NK-Plus-I3 REX</v>
      </c>
      <c r="B1335" s="7" t="s">
        <v>39</v>
      </c>
      <c r="C1335" s="7" t="s">
        <v>107</v>
      </c>
      <c r="D1335" s="7"/>
      <c r="E1335" s="7" t="s">
        <v>10</v>
      </c>
      <c r="F1335" s="7" t="s">
        <v>83</v>
      </c>
      <c r="G1335" s="11">
        <v>21691.831043432667</v>
      </c>
    </row>
    <row r="1336" spans="1:7" hidden="1">
      <c r="A1336" t="str">
        <f t="shared" si="20"/>
        <v>USADO-07N7-Standard-I3 REX</v>
      </c>
      <c r="B1336" s="7" t="s">
        <v>39</v>
      </c>
      <c r="C1336" s="7" t="s">
        <v>112</v>
      </c>
      <c r="D1336" s="7" t="s">
        <v>262</v>
      </c>
      <c r="E1336" s="7" t="s">
        <v>33</v>
      </c>
      <c r="F1336" s="7" t="s">
        <v>83</v>
      </c>
      <c r="G1336" s="11">
        <v>13568.197106848322</v>
      </c>
    </row>
    <row r="1337" spans="1:7" hidden="1">
      <c r="A1337" t="str">
        <f t="shared" si="20"/>
        <v>USADO-07N8-Plus-I3 REX</v>
      </c>
      <c r="B1337" s="7" t="s">
        <v>39</v>
      </c>
      <c r="C1337" s="7" t="s">
        <v>116</v>
      </c>
      <c r="D1337" s="7"/>
      <c r="E1337" s="7" t="s">
        <v>10</v>
      </c>
      <c r="F1337" s="7" t="s">
        <v>83</v>
      </c>
      <c r="G1337" s="11">
        <v>24975.853273115703</v>
      </c>
    </row>
    <row r="1338" spans="1:7" hidden="1">
      <c r="A1338" t="str">
        <f t="shared" si="20"/>
        <v>USADO-07NH-Standard-I3 REX</v>
      </c>
      <c r="B1338" s="7" t="s">
        <v>39</v>
      </c>
      <c r="C1338" s="7" t="s">
        <v>121</v>
      </c>
      <c r="D1338" s="7" t="s">
        <v>263</v>
      </c>
      <c r="E1338" s="7" t="s">
        <v>33</v>
      </c>
      <c r="F1338" s="7" t="s">
        <v>83</v>
      </c>
      <c r="G1338" s="11">
        <v>13654.61874447156</v>
      </c>
    </row>
    <row r="1339" spans="1:7" hidden="1">
      <c r="A1339" t="str">
        <f t="shared" si="20"/>
        <v>USADO-07NA-Plus-I3 REX</v>
      </c>
      <c r="B1339" s="7" t="s">
        <v>39</v>
      </c>
      <c r="C1339" s="7" t="s">
        <v>125</v>
      </c>
      <c r="D1339" s="7"/>
      <c r="E1339" s="7" t="s">
        <v>10</v>
      </c>
      <c r="F1339" s="7" t="s">
        <v>83</v>
      </c>
      <c r="G1339" s="11">
        <v>26012.912924594555</v>
      </c>
    </row>
    <row r="1340" spans="1:7" hidden="1">
      <c r="A1340" t="str">
        <f t="shared" si="20"/>
        <v>USADO-07UA-Standard-I3 REX</v>
      </c>
      <c r="B1340" s="7" t="s">
        <v>39</v>
      </c>
      <c r="C1340" s="7" t="s">
        <v>130</v>
      </c>
      <c r="D1340" s="7" t="s">
        <v>264</v>
      </c>
      <c r="E1340" s="7" t="s">
        <v>33</v>
      </c>
      <c r="F1340" s="7" t="s">
        <v>83</v>
      </c>
      <c r="G1340" s="11">
        <v>17457.170799894018</v>
      </c>
    </row>
    <row r="1341" spans="1:7" hidden="1">
      <c r="A1341" t="str">
        <f t="shared" si="20"/>
        <v>USADO-07UB-Plus-I3 REX</v>
      </c>
      <c r="B1341" s="7" t="s">
        <v>39</v>
      </c>
      <c r="C1341" s="7" t="s">
        <v>133</v>
      </c>
      <c r="D1341" s="7"/>
      <c r="E1341" s="7" t="s">
        <v>10</v>
      </c>
      <c r="F1341" s="7" t="s">
        <v>83</v>
      </c>
      <c r="G1341" s="11">
        <v>33185.908847323284</v>
      </c>
    </row>
    <row r="1342" spans="1:7" hidden="1">
      <c r="A1342" t="str">
        <f t="shared" si="20"/>
        <v>USADO-07US-Standard-I3 BEV</v>
      </c>
      <c r="B1342" s="7" t="s">
        <v>39</v>
      </c>
      <c r="C1342" s="7" t="s">
        <v>34</v>
      </c>
      <c r="D1342" s="7" t="s">
        <v>254</v>
      </c>
      <c r="E1342" s="7" t="s">
        <v>33</v>
      </c>
      <c r="F1342" s="7" t="s">
        <v>79</v>
      </c>
      <c r="G1342" s="54">
        <v>4725.5570712748486</v>
      </c>
    </row>
    <row r="1343" spans="1:7" hidden="1">
      <c r="A1343" t="str">
        <f t="shared" si="20"/>
        <v>USADO-07D7-Plus-I3 BEV</v>
      </c>
      <c r="B1343" s="7" t="s">
        <v>39</v>
      </c>
      <c r="C1343" s="7" t="s">
        <v>42</v>
      </c>
      <c r="D1343" s="7"/>
      <c r="E1343" s="7" t="s">
        <v>10</v>
      </c>
      <c r="F1343" s="7" t="s">
        <v>79</v>
      </c>
      <c r="G1343" s="54">
        <v>9746.4614595043749</v>
      </c>
    </row>
    <row r="1344" spans="1:7" hidden="1">
      <c r="A1344" t="str">
        <f t="shared" si="20"/>
        <v>USADO-07NG-Standard-I3 BEV</v>
      </c>
      <c r="B1344" s="7" t="s">
        <v>39</v>
      </c>
      <c r="C1344" s="7" t="s">
        <v>49</v>
      </c>
      <c r="D1344" s="7" t="s">
        <v>255</v>
      </c>
      <c r="E1344" s="7" t="s">
        <v>33</v>
      </c>
      <c r="F1344" s="7" t="s">
        <v>79</v>
      </c>
      <c r="G1344" s="54">
        <v>4824.0061769264084</v>
      </c>
    </row>
    <row r="1345" spans="1:7" hidden="1">
      <c r="A1345" t="str">
        <f t="shared" si="20"/>
        <v>USADO-07NM-Plus-I3 BEV</v>
      </c>
      <c r="B1345" s="7" t="s">
        <v>39</v>
      </c>
      <c r="C1345" s="7" t="s">
        <v>53</v>
      </c>
      <c r="D1345" s="7"/>
      <c r="E1345" s="7" t="s">
        <v>10</v>
      </c>
      <c r="F1345" s="7" t="s">
        <v>79</v>
      </c>
      <c r="G1345" s="54">
        <v>13487.52747426363</v>
      </c>
    </row>
    <row r="1346" spans="1:7" hidden="1">
      <c r="A1346" t="str">
        <f t="shared" si="20"/>
        <v>USADO-07DA-Standard-I3 BEV</v>
      </c>
      <c r="B1346" s="7" t="s">
        <v>39</v>
      </c>
      <c r="C1346" s="7" t="s">
        <v>58</v>
      </c>
      <c r="D1346" s="7" t="s">
        <v>256</v>
      </c>
      <c r="E1346" s="7" t="s">
        <v>33</v>
      </c>
      <c r="F1346" s="7" t="s">
        <v>79</v>
      </c>
      <c r="G1346" s="54">
        <v>5020.9043882295273</v>
      </c>
    </row>
    <row r="1347" spans="1:7" hidden="1">
      <c r="A1347" t="str">
        <f t="shared" si="20"/>
        <v>USADO-07DB-Plus-I3 BEV</v>
      </c>
      <c r="B1347" s="7" t="s">
        <v>39</v>
      </c>
      <c r="C1347" s="7" t="s">
        <v>62</v>
      </c>
      <c r="D1347" s="7"/>
      <c r="E1347" s="7" t="s">
        <v>10</v>
      </c>
      <c r="F1347" s="7" t="s">
        <v>79</v>
      </c>
      <c r="G1347" s="54">
        <v>18114.635439886919</v>
      </c>
    </row>
    <row r="1348" spans="1:7" hidden="1">
      <c r="A1348" t="str">
        <f t="shared" si="20"/>
        <v>USADO-07DD-Standard-I3 BEV</v>
      </c>
      <c r="B1348" s="7" t="s">
        <v>39</v>
      </c>
      <c r="C1348" s="7" t="s">
        <v>67</v>
      </c>
      <c r="D1348" s="7" t="s">
        <v>257</v>
      </c>
      <c r="E1348" s="7" t="s">
        <v>33</v>
      </c>
      <c r="F1348" s="7" t="s">
        <v>79</v>
      </c>
      <c r="G1348" s="54">
        <v>6399.1918673513574</v>
      </c>
    </row>
    <row r="1349" spans="1:7" hidden="1">
      <c r="A1349" t="str">
        <f t="shared" si="20"/>
        <v>USADO-07DE-Plus-I3 BEV</v>
      </c>
      <c r="B1349" s="7" t="s">
        <v>39</v>
      </c>
      <c r="C1349" s="7" t="s">
        <v>71</v>
      </c>
      <c r="D1349" s="7"/>
      <c r="E1349" s="7" t="s">
        <v>10</v>
      </c>
      <c r="F1349" s="7" t="s">
        <v>79</v>
      </c>
      <c r="G1349" s="54">
        <v>15062.713164688581</v>
      </c>
    </row>
    <row r="1350" spans="1:7" hidden="1">
      <c r="A1350" t="str">
        <f t="shared" si="20"/>
        <v>USADO-07NX-Standard-I3 BEV</v>
      </c>
      <c r="B1350" s="7" t="s">
        <v>39</v>
      </c>
      <c r="C1350" s="7" t="s">
        <v>76</v>
      </c>
      <c r="D1350" s="7" t="s">
        <v>258</v>
      </c>
      <c r="E1350" s="7" t="s">
        <v>33</v>
      </c>
      <c r="F1350" s="7" t="s">
        <v>79</v>
      </c>
      <c r="G1350" s="54">
        <v>6596.0900786544762</v>
      </c>
    </row>
    <row r="1351" spans="1:7" hidden="1">
      <c r="A1351" t="str">
        <f t="shared" si="20"/>
        <v>USADO-07NY-Plus-I3 BEV</v>
      </c>
      <c r="B1351" s="7" t="s">
        <v>39</v>
      </c>
      <c r="C1351" s="7" t="s">
        <v>80</v>
      </c>
      <c r="D1351" s="7"/>
      <c r="E1351" s="7" t="s">
        <v>10</v>
      </c>
      <c r="F1351" s="7" t="s">
        <v>79</v>
      </c>
      <c r="G1351" s="54">
        <v>19296.024707705634</v>
      </c>
    </row>
    <row r="1352" spans="1:7" hidden="1">
      <c r="A1352" t="str">
        <f t="shared" si="20"/>
        <v>USADO-07N1-Standard-I3 BEV</v>
      </c>
      <c r="B1352" s="7" t="s">
        <v>39</v>
      </c>
      <c r="C1352" s="7" t="s">
        <v>85</v>
      </c>
      <c r="D1352" s="7" t="s">
        <v>259</v>
      </c>
      <c r="E1352" s="7" t="s">
        <v>33</v>
      </c>
      <c r="F1352" s="7" t="s">
        <v>79</v>
      </c>
      <c r="G1352" s="54">
        <v>6792.988289957595</v>
      </c>
    </row>
    <row r="1353" spans="1:7" hidden="1">
      <c r="A1353" t="str">
        <f t="shared" si="20"/>
        <v>USADO-07N2-Plus-I3 BEV</v>
      </c>
      <c r="B1353" s="7" t="s">
        <v>39</v>
      </c>
      <c r="C1353" s="7" t="s">
        <v>89</v>
      </c>
      <c r="D1353" s="7"/>
      <c r="E1353" s="7" t="s">
        <v>10</v>
      </c>
      <c r="F1353" s="7" t="s">
        <v>79</v>
      </c>
      <c r="G1353" s="54">
        <v>19492.92291900875</v>
      </c>
    </row>
    <row r="1354" spans="1:7" hidden="1">
      <c r="A1354" t="str">
        <f t="shared" si="20"/>
        <v>USADO-07N4-Standard-I3 BEV</v>
      </c>
      <c r="B1354" s="7" t="s">
        <v>39</v>
      </c>
      <c r="C1354" s="7" t="s">
        <v>94</v>
      </c>
      <c r="D1354" s="7" t="s">
        <v>260</v>
      </c>
      <c r="E1354" s="7" t="s">
        <v>33</v>
      </c>
      <c r="F1354" s="7" t="s">
        <v>79</v>
      </c>
      <c r="G1354" s="54">
        <v>7777.4793464731883</v>
      </c>
    </row>
    <row r="1355" spans="1:7" hidden="1">
      <c r="A1355" t="str">
        <f t="shared" si="20"/>
        <v>USADO-07N5-Plus-I3 BEV</v>
      </c>
      <c r="B1355" s="7" t="s">
        <v>39</v>
      </c>
      <c r="C1355" s="7" t="s">
        <v>98</v>
      </c>
      <c r="D1355" s="7"/>
      <c r="E1355" s="7" t="s">
        <v>10</v>
      </c>
      <c r="F1355" s="7" t="s">
        <v>79</v>
      </c>
      <c r="G1355" s="54">
        <v>20969.659503782143</v>
      </c>
    </row>
    <row r="1356" spans="1:7" hidden="1">
      <c r="A1356" t="str">
        <f t="shared" si="20"/>
        <v>USADO-07NW-Standard-I3 BEV</v>
      </c>
      <c r="B1356" s="7" t="s">
        <v>39</v>
      </c>
      <c r="C1356" s="7" t="s">
        <v>103</v>
      </c>
      <c r="D1356" s="7" t="s">
        <v>261</v>
      </c>
      <c r="E1356" s="7" t="s">
        <v>33</v>
      </c>
      <c r="F1356" s="7" t="s">
        <v>79</v>
      </c>
      <c r="G1356" s="54">
        <v>6596.0900786544762</v>
      </c>
    </row>
    <row r="1357" spans="1:7" hidden="1">
      <c r="A1357" t="str">
        <f t="shared" si="20"/>
        <v>USADO-07NK-Plus-I3 BEV</v>
      </c>
      <c r="B1357" s="7" t="s">
        <v>39</v>
      </c>
      <c r="C1357" s="7" t="s">
        <v>107</v>
      </c>
      <c r="D1357" s="7"/>
      <c r="E1357" s="7" t="s">
        <v>10</v>
      </c>
      <c r="F1357" s="7" t="s">
        <v>79</v>
      </c>
      <c r="G1357" s="54">
        <v>15259.611375991699</v>
      </c>
    </row>
    <row r="1358" spans="1:7" hidden="1">
      <c r="A1358" t="str">
        <f t="shared" ref="A1358:A1385" si="21">B1358&amp;"-"&amp;C1358&amp;"-"&amp;E1358&amp;"-"&amp;F1358</f>
        <v>USADO-07N7-Standard-I3 BEV</v>
      </c>
      <c r="B1358" s="7" t="s">
        <v>39</v>
      </c>
      <c r="C1358" s="7" t="s">
        <v>112</v>
      </c>
      <c r="D1358" s="7" t="s">
        <v>262</v>
      </c>
      <c r="E1358" s="7" t="s">
        <v>33</v>
      </c>
      <c r="F1358" s="7" t="s">
        <v>79</v>
      </c>
      <c r="G1358" s="54">
        <v>6694.5391843060361</v>
      </c>
    </row>
    <row r="1359" spans="1:7" hidden="1">
      <c r="A1359" t="str">
        <f t="shared" si="21"/>
        <v>USADO-07N8-Plus-I3 BEV</v>
      </c>
      <c r="B1359" s="7" t="s">
        <v>39</v>
      </c>
      <c r="C1359" s="7" t="s">
        <v>116</v>
      </c>
      <c r="D1359" s="7"/>
      <c r="E1359" s="7" t="s">
        <v>10</v>
      </c>
      <c r="F1359" s="7" t="s">
        <v>79</v>
      </c>
      <c r="G1359" s="54">
        <v>19394.473813357192</v>
      </c>
    </row>
    <row r="1360" spans="1:7" hidden="1">
      <c r="A1360" t="str">
        <f t="shared" si="21"/>
        <v>USADO-07NH-Standard-I3 BEV</v>
      </c>
      <c r="B1360" s="7" t="s">
        <v>39</v>
      </c>
      <c r="C1360" s="7" t="s">
        <v>121</v>
      </c>
      <c r="D1360" s="7" t="s">
        <v>263</v>
      </c>
      <c r="E1360" s="7" t="s">
        <v>33</v>
      </c>
      <c r="F1360" s="7" t="s">
        <v>79</v>
      </c>
      <c r="G1360" s="54">
        <v>6891.4373956091549</v>
      </c>
    </row>
    <row r="1361" spans="1:7" hidden="1">
      <c r="A1361" t="str">
        <f t="shared" si="21"/>
        <v>USADO-07NA-Plus-I3 BEV</v>
      </c>
      <c r="B1361" s="7" t="s">
        <v>39</v>
      </c>
      <c r="C1361" s="7" t="s">
        <v>125</v>
      </c>
      <c r="D1361" s="7"/>
      <c r="E1361" s="7" t="s">
        <v>10</v>
      </c>
      <c r="F1361" s="7" t="s">
        <v>79</v>
      </c>
      <c r="G1361" s="54">
        <v>19788.270235963428</v>
      </c>
    </row>
    <row r="1362" spans="1:7" hidden="1">
      <c r="A1362" t="str">
        <f t="shared" si="21"/>
        <v>USADO-07UA-Standard-I3 BEV</v>
      </c>
      <c r="B1362" s="7" t="s">
        <v>39</v>
      </c>
      <c r="C1362" s="7" t="s">
        <v>130</v>
      </c>
      <c r="D1362" s="7" t="s">
        <v>264</v>
      </c>
      <c r="E1362" s="7" t="s">
        <v>33</v>
      </c>
      <c r="F1362" s="7" t="s">
        <v>79</v>
      </c>
      <c r="G1362" s="54">
        <v>9057.3177199434595</v>
      </c>
    </row>
    <row r="1363" spans="1:7" hidden="1">
      <c r="A1363" t="str">
        <f t="shared" si="21"/>
        <v>USADO-07UB-Plus-I3 BEV</v>
      </c>
      <c r="B1363" s="7" t="s">
        <v>39</v>
      </c>
      <c r="C1363" s="7" t="s">
        <v>133</v>
      </c>
      <c r="D1363" s="7"/>
      <c r="E1363" s="7" t="s">
        <v>10</v>
      </c>
      <c r="F1363" s="7" t="s">
        <v>79</v>
      </c>
      <c r="G1363" s="54">
        <v>24513.82730723828</v>
      </c>
    </row>
    <row r="1364" spans="1:7" hidden="1">
      <c r="A1364" t="str">
        <f t="shared" si="21"/>
        <v>USADO-07US-Standard-I8</v>
      </c>
      <c r="B1364" s="7" t="s">
        <v>39</v>
      </c>
      <c r="C1364" s="7" t="s">
        <v>34</v>
      </c>
      <c r="D1364" s="7" t="s">
        <v>254</v>
      </c>
      <c r="E1364" s="7" t="s">
        <v>33</v>
      </c>
      <c r="F1364" s="7" t="s">
        <v>88</v>
      </c>
      <c r="G1364" s="11">
        <v>10629.861427658239</v>
      </c>
    </row>
    <row r="1365" spans="1:7" hidden="1">
      <c r="A1365" t="str">
        <f t="shared" si="21"/>
        <v>USADO-07D7-Plus-I8</v>
      </c>
      <c r="B1365" s="7" t="s">
        <v>39</v>
      </c>
      <c r="C1365" s="7" t="s">
        <v>42</v>
      </c>
      <c r="D1365" s="7"/>
      <c r="E1365" s="7" t="s">
        <v>10</v>
      </c>
      <c r="F1365" s="7" t="s">
        <v>88</v>
      </c>
      <c r="G1365" s="11">
        <v>16074.424597922216</v>
      </c>
    </row>
    <row r="1366" spans="1:7" hidden="1">
      <c r="A1366" t="str">
        <f t="shared" si="21"/>
        <v>USADO-07NG-Standard-I8</v>
      </c>
      <c r="B1366" s="7" t="s">
        <v>39</v>
      </c>
      <c r="C1366" s="7" t="s">
        <v>49</v>
      </c>
      <c r="D1366" s="7" t="s">
        <v>255</v>
      </c>
      <c r="E1366" s="7" t="s">
        <v>33</v>
      </c>
      <c r="F1366" s="7" t="s">
        <v>88</v>
      </c>
      <c r="G1366" s="11">
        <v>14432.4134830807</v>
      </c>
    </row>
    <row r="1367" spans="1:7" hidden="1">
      <c r="A1367" t="str">
        <f t="shared" si="21"/>
        <v>USADO-07NM-Plus-I8</v>
      </c>
      <c r="B1367" s="7" t="s">
        <v>39</v>
      </c>
      <c r="C1367" s="7" t="s">
        <v>53</v>
      </c>
      <c r="D1367" s="7"/>
      <c r="E1367" s="7" t="s">
        <v>10</v>
      </c>
      <c r="F1367" s="7" t="s">
        <v>88</v>
      </c>
      <c r="G1367" s="11">
        <v>24803.009997869227</v>
      </c>
    </row>
    <row r="1368" spans="1:7" hidden="1">
      <c r="A1368" t="str">
        <f t="shared" si="21"/>
        <v>USADO-07DA-Standard-I8</v>
      </c>
      <c r="B1368" s="7" t="s">
        <v>39</v>
      </c>
      <c r="C1368" s="7" t="s">
        <v>58</v>
      </c>
      <c r="D1368" s="7" t="s">
        <v>256</v>
      </c>
      <c r="E1368" s="7" t="s">
        <v>33</v>
      </c>
      <c r="F1368" s="7" t="s">
        <v>88</v>
      </c>
      <c r="G1368" s="11">
        <v>21000.457942446767</v>
      </c>
    </row>
    <row r="1369" spans="1:7" hidden="1">
      <c r="A1369" t="str">
        <f t="shared" si="21"/>
        <v>USADO-07DB-Plus-I8</v>
      </c>
      <c r="B1369" s="7" t="s">
        <v>39</v>
      </c>
      <c r="C1369" s="7" t="s">
        <v>62</v>
      </c>
      <c r="D1369" s="7"/>
      <c r="E1369" s="7" t="s">
        <v>10</v>
      </c>
      <c r="F1369" s="7" t="s">
        <v>88</v>
      </c>
      <c r="G1369" s="11">
        <v>38111.942191847833</v>
      </c>
    </row>
    <row r="1370" spans="1:7" hidden="1">
      <c r="A1370" t="str">
        <f t="shared" si="21"/>
        <v>USADO-07DD-Standard-I8</v>
      </c>
      <c r="B1370" s="7" t="s">
        <v>39</v>
      </c>
      <c r="C1370" s="7" t="s">
        <v>67</v>
      </c>
      <c r="D1370" s="7" t="s">
        <v>257</v>
      </c>
      <c r="E1370" s="7" t="s">
        <v>33</v>
      </c>
      <c r="F1370" s="7" t="s">
        <v>88</v>
      </c>
      <c r="G1370" s="11">
        <v>14518.835120703938</v>
      </c>
    </row>
    <row r="1371" spans="1:7" hidden="1">
      <c r="A1371" t="str">
        <f t="shared" si="21"/>
        <v>USADO-07DE-Plus-I8</v>
      </c>
      <c r="B1371" s="7" t="s">
        <v>39</v>
      </c>
      <c r="C1371" s="7" t="s">
        <v>71</v>
      </c>
      <c r="D1371" s="7"/>
      <c r="E1371" s="7" t="s">
        <v>10</v>
      </c>
      <c r="F1371" s="7" t="s">
        <v>88</v>
      </c>
      <c r="G1371" s="11">
        <v>24889.431635492463</v>
      </c>
    </row>
    <row r="1372" spans="1:7" hidden="1">
      <c r="A1372" t="str">
        <f t="shared" si="21"/>
        <v>USADO-07NX-Standard-I8</v>
      </c>
      <c r="B1372" s="7" t="s">
        <v>39</v>
      </c>
      <c r="C1372" s="7" t="s">
        <v>76</v>
      </c>
      <c r="D1372" s="7" t="s">
        <v>258</v>
      </c>
      <c r="E1372" s="7" t="s">
        <v>33</v>
      </c>
      <c r="F1372" s="7" t="s">
        <v>88</v>
      </c>
      <c r="G1372" s="11">
        <v>16765.797698908118</v>
      </c>
    </row>
    <row r="1373" spans="1:7" hidden="1">
      <c r="A1373" t="str">
        <f t="shared" si="21"/>
        <v>USADO-07NY-Plus-I8</v>
      </c>
      <c r="B1373" s="7" t="s">
        <v>39</v>
      </c>
      <c r="C1373" s="7" t="s">
        <v>80</v>
      </c>
      <c r="D1373" s="7"/>
      <c r="E1373" s="7" t="s">
        <v>10</v>
      </c>
      <c r="F1373" s="7" t="s">
        <v>88</v>
      </c>
      <c r="G1373" s="11">
        <v>31371.054457235292</v>
      </c>
    </row>
    <row r="1374" spans="1:7" hidden="1">
      <c r="A1374" t="str">
        <f t="shared" si="21"/>
        <v>USADO-07N1-Standard-I8</v>
      </c>
      <c r="B1374" s="7" t="s">
        <v>39</v>
      </c>
      <c r="C1374" s="7" t="s">
        <v>85</v>
      </c>
      <c r="D1374" s="7" t="s">
        <v>259</v>
      </c>
      <c r="E1374" s="7" t="s">
        <v>33</v>
      </c>
      <c r="F1374" s="7" t="s">
        <v>88</v>
      </c>
      <c r="G1374" s="11">
        <v>21086.879580070003</v>
      </c>
    </row>
    <row r="1375" spans="1:7" hidden="1">
      <c r="A1375" t="str">
        <f t="shared" si="21"/>
        <v>USADO-07N2-Plus-I8</v>
      </c>
      <c r="B1375" s="7" t="s">
        <v>39</v>
      </c>
      <c r="C1375" s="7" t="s">
        <v>89</v>
      </c>
      <c r="D1375" s="7"/>
      <c r="E1375" s="7" t="s">
        <v>10</v>
      </c>
      <c r="F1375" s="7" t="s">
        <v>88</v>
      </c>
      <c r="G1375" s="11">
        <v>38457.628742340785</v>
      </c>
    </row>
    <row r="1376" spans="1:7" hidden="1">
      <c r="A1376" t="str">
        <f t="shared" si="21"/>
        <v>USADO-07N4-Standard-I8</v>
      </c>
      <c r="B1376" s="7" t="s">
        <v>39</v>
      </c>
      <c r="C1376" s="7" t="s">
        <v>94</v>
      </c>
      <c r="D1376" s="7" t="s">
        <v>260</v>
      </c>
      <c r="E1376" s="7" t="s">
        <v>33</v>
      </c>
      <c r="F1376" s="7" t="s">
        <v>88</v>
      </c>
      <c r="G1376" s="11">
        <v>24975.853273115703</v>
      </c>
    </row>
    <row r="1377" spans="1:7" hidden="1">
      <c r="A1377" t="str">
        <f t="shared" si="21"/>
        <v>USADO-07N5-Plus-I8</v>
      </c>
      <c r="B1377" s="7" t="s">
        <v>39</v>
      </c>
      <c r="C1377" s="7" t="s">
        <v>98</v>
      </c>
      <c r="D1377" s="7"/>
      <c r="E1377" s="7" t="s">
        <v>10</v>
      </c>
      <c r="F1377" s="7" t="s">
        <v>88</v>
      </c>
      <c r="G1377" s="11">
        <v>44334.300100720953</v>
      </c>
    </row>
    <row r="1378" spans="1:7" hidden="1">
      <c r="A1378" t="str">
        <f t="shared" si="21"/>
        <v>USADO-07NW-Standard-I8</v>
      </c>
      <c r="B1378" s="7" t="s">
        <v>39</v>
      </c>
      <c r="C1378" s="7" t="s">
        <v>103</v>
      </c>
      <c r="D1378" s="7" t="s">
        <v>261</v>
      </c>
      <c r="E1378" s="7" t="s">
        <v>33</v>
      </c>
      <c r="F1378" s="7" t="s">
        <v>88</v>
      </c>
      <c r="G1378" s="11">
        <v>15123.786584066602</v>
      </c>
    </row>
    <row r="1379" spans="1:7" hidden="1">
      <c r="A1379" t="str">
        <f t="shared" si="21"/>
        <v>USADO-07NK-Plus-I8</v>
      </c>
      <c r="B1379" s="7" t="s">
        <v>39</v>
      </c>
      <c r="C1379" s="7" t="s">
        <v>107</v>
      </c>
      <c r="D1379" s="7"/>
      <c r="E1379" s="7" t="s">
        <v>10</v>
      </c>
      <c r="F1379" s="7" t="s">
        <v>88</v>
      </c>
      <c r="G1379" s="11">
        <v>25753.648011724839</v>
      </c>
    </row>
    <row r="1380" spans="1:7" hidden="1">
      <c r="A1380" t="str">
        <f t="shared" si="21"/>
        <v>USADO-07N7-Standard-I8</v>
      </c>
      <c r="B1380" s="7" t="s">
        <v>39</v>
      </c>
      <c r="C1380" s="7" t="s">
        <v>112</v>
      </c>
      <c r="D1380" s="7" t="s">
        <v>262</v>
      </c>
      <c r="E1380" s="7" t="s">
        <v>33</v>
      </c>
      <c r="F1380" s="7" t="s">
        <v>88</v>
      </c>
      <c r="G1380" s="11">
        <v>17111.48424940107</v>
      </c>
    </row>
    <row r="1381" spans="1:7" hidden="1">
      <c r="A1381" t="str">
        <f t="shared" si="21"/>
        <v>USADO-07N8-Plus-I8</v>
      </c>
      <c r="B1381" s="7" t="s">
        <v>39</v>
      </c>
      <c r="C1381" s="7" t="s">
        <v>116</v>
      </c>
      <c r="D1381" s="7"/>
      <c r="E1381" s="7" t="s">
        <v>10</v>
      </c>
      <c r="F1381" s="7" t="s">
        <v>88</v>
      </c>
      <c r="G1381" s="11">
        <v>31976.005920597956</v>
      </c>
    </row>
    <row r="1382" spans="1:7" hidden="1">
      <c r="A1382" t="str">
        <f t="shared" si="21"/>
        <v>USADO-07NH-Standard-I8</v>
      </c>
      <c r="B1382" s="7" t="s">
        <v>39</v>
      </c>
      <c r="C1382" s="7" t="s">
        <v>121</v>
      </c>
      <c r="D1382" s="7" t="s">
        <v>263</v>
      </c>
      <c r="E1382" s="7" t="s">
        <v>33</v>
      </c>
      <c r="F1382" s="7" t="s">
        <v>88</v>
      </c>
      <c r="G1382" s="11">
        <v>21173.301217693243</v>
      </c>
    </row>
    <row r="1383" spans="1:7" hidden="1">
      <c r="A1383" t="str">
        <f t="shared" si="21"/>
        <v>USADO-07NA-Plus-I8</v>
      </c>
      <c r="B1383" s="7" t="s">
        <v>39</v>
      </c>
      <c r="C1383" s="7" t="s">
        <v>125</v>
      </c>
      <c r="D1383" s="7"/>
      <c r="E1383" s="7" t="s">
        <v>10</v>
      </c>
      <c r="F1383" s="7" t="s">
        <v>88</v>
      </c>
      <c r="G1383" s="11">
        <v>38716.893655210501</v>
      </c>
    </row>
    <row r="1384" spans="1:7" hidden="1">
      <c r="A1384" t="str">
        <f t="shared" si="21"/>
        <v>USADO-07UA-Standard-I8</v>
      </c>
      <c r="B1384" s="7" t="s">
        <v>39</v>
      </c>
      <c r="C1384" s="7" t="s">
        <v>130</v>
      </c>
      <c r="D1384" s="7" t="s">
        <v>264</v>
      </c>
      <c r="E1384" s="7" t="s">
        <v>33</v>
      </c>
      <c r="F1384" s="7" t="s">
        <v>88</v>
      </c>
      <c r="G1384" s="11">
        <v>25667.226374101603</v>
      </c>
    </row>
    <row r="1385" spans="1:7" hidden="1">
      <c r="A1385" t="str">
        <f t="shared" si="21"/>
        <v>USADO-07UB-Plus-I8</v>
      </c>
      <c r="B1385" s="7" t="s">
        <v>39</v>
      </c>
      <c r="C1385" s="7" t="s">
        <v>133</v>
      </c>
      <c r="D1385" s="7"/>
      <c r="E1385" s="7" t="s">
        <v>10</v>
      </c>
      <c r="F1385" s="7" t="s">
        <v>88</v>
      </c>
      <c r="G1385" s="11">
        <v>45371.359752199802</v>
      </c>
    </row>
  </sheetData>
  <autoFilter ref="A1:G1385" xr:uid="{756EEAAE-E443-4E09-B218-9EA8937C02C7}">
    <filterColumn colId="0">
      <filters>
        <filter val="NOVO-07DA-Standard-X6"/>
        <filter val="NOVO-07DA-Standard-X6M"/>
        <filter val="NOVO-07DD-Standard-X6"/>
        <filter val="NOVO-07DD-Standard-X6M"/>
        <filter val="NOVO-07N1-Standard-X6"/>
        <filter val="NOVO-07N1-Standard-X6M"/>
        <filter val="NOVO-07N4-Standard-X6"/>
        <filter val="NOVO-07N4-Standard-X6M"/>
        <filter val="NOVO-07N7-Standard-X6"/>
        <filter val="NOVO-07N7-Standard-X6M"/>
        <filter val="NOVO-07NG-Standard-X6"/>
        <filter val="NOVO-07NG-Standard-X6M"/>
        <filter val="NOVO-07NH-Standard-X6"/>
        <filter val="NOVO-07NH-Standard-X6M"/>
        <filter val="NOVO-07NW-Standard-X6"/>
        <filter val="NOVO-07NW-Standard-X6M"/>
        <filter val="NOVO-07NX-Standard-X6"/>
        <filter val="NOVO-07NX-Standard-X6M"/>
        <filter val="NOVO-07UA-Standard-X6"/>
        <filter val="NOVO-07UA-Standard-X6M"/>
        <filter val="NOVO-07US-Standard-X6"/>
        <filter val="NOVO-07US-Standard-X6M"/>
        <filter val="USADO-07DA-Standard-X6"/>
        <filter val="USADO-07DA-Standard-X6M"/>
        <filter val="USADO-07DD-Standard-X6"/>
        <filter val="USADO-07DD-Standard-X6M"/>
        <filter val="USADO-07N1-Standard-X6"/>
        <filter val="USADO-07N1-Standard-X6M"/>
        <filter val="USADO-07N4-Standard-X6"/>
        <filter val="USADO-07N4-Standard-X6M"/>
        <filter val="USADO-07N7-Standard-X6"/>
        <filter val="USADO-07N7-Standard-X6M"/>
        <filter val="USADO-07NG-Standard-X6"/>
        <filter val="USADO-07NG-Standard-X6M"/>
        <filter val="USADO-07NH-Standard-X6"/>
        <filter val="USADO-07NH-Standard-X6M"/>
        <filter val="USADO-07NW-Standard-X6"/>
        <filter val="USADO-07NW-Standard-X6M"/>
        <filter val="USADO-07NX-Standard-X6"/>
        <filter val="USADO-07NX-Standard-X6M"/>
        <filter val="USADO-07UA-Standard-X6"/>
        <filter val="USADO-07UA-Standard-X6M"/>
        <filter val="USADO-07US-Standard-X6"/>
        <filter val="USADO-07US-Standard-X6M"/>
      </filters>
    </filterColumn>
  </autoFilter>
  <conditionalFormatting sqref="A1">
    <cfRule type="duplicateValues" dxfId="1" priority="2"/>
  </conditionalFormatting>
  <conditionalFormatting sqref="A2:A1385">
    <cfRule type="duplicateValues" dxfId="0" priority="1"/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58BBBB43482544A0B88E482367BEE1" ma:contentTypeVersion="14" ma:contentTypeDescription="Create a new document." ma:contentTypeScope="" ma:versionID="0bc8e338abf63c77b4815a29b666e3c1">
  <xsd:schema xmlns:xsd="http://www.w3.org/2001/XMLSchema" xmlns:xs="http://www.w3.org/2001/XMLSchema" xmlns:p="http://schemas.microsoft.com/office/2006/metadata/properties" xmlns:ns2="2dc754e5-06a4-45dc-90cf-87597364c869" xmlns:ns3="0e527813-729d-4d88-adb3-eb71ba41d87c" targetNamespace="http://schemas.microsoft.com/office/2006/metadata/properties" ma:root="true" ma:fieldsID="d52e3397b2100a922c72fd9fc9bb3ef5" ns2:_="" ns3:_="">
    <xsd:import namespace="2dc754e5-06a4-45dc-90cf-87597364c869"/>
    <xsd:import namespace="0e527813-729d-4d88-adb3-eb71ba41d8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dc754e5-06a4-45dc-90cf-87597364c86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2" nillable="true" ma:displayName="Length (seconds)" ma:internalName="MediaLengthInSeconds" ma:readOnly="true">
      <xsd:simpleType>
        <xsd:restriction base="dms:Unknown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f379bc3-ff0e-4cb5-81e2-2791c8f194a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527813-729d-4d88-adb3-eb71ba41d87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2e8e004a-f7f0-4d6d-bfd1-66cc5c9725ab}" ma:internalName="TaxCatchAll" ma:showField="CatchAllData" ma:web="0e527813-729d-4d88-adb3-eb71ba41d87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dc754e5-06a4-45dc-90cf-87597364c869">
      <Terms xmlns="http://schemas.microsoft.com/office/infopath/2007/PartnerControls"/>
    </lcf76f155ced4ddcb4097134ff3c332f>
    <TaxCatchAll xmlns="0e527813-729d-4d88-adb3-eb71ba41d87c" xsi:nil="true"/>
  </documentManagement>
</p:properties>
</file>

<file path=customXml/itemProps1.xml><?xml version="1.0" encoding="utf-8"?>
<ds:datastoreItem xmlns:ds="http://schemas.openxmlformats.org/officeDocument/2006/customXml" ds:itemID="{9A814A4C-6023-447C-A783-83FF902FC37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BFAD276-B50D-4647-86CB-87E004A103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dc754e5-06a4-45dc-90cf-87597364c869"/>
    <ds:schemaRef ds:uri="0e527813-729d-4d88-adb3-eb71ba41d8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F7C5A06-6195-40D2-8249-FEB6BA79AC0D}">
  <ds:schemaRefs>
    <ds:schemaRef ds:uri="http://schemas.microsoft.com/office/2006/metadata/properties"/>
    <ds:schemaRef ds:uri="http://schemas.microsoft.com/office/infopath/2007/PartnerControls"/>
    <ds:schemaRef ds:uri="2dc754e5-06a4-45dc-90cf-87597364c869"/>
    <ds:schemaRef ds:uri="0e527813-729d-4d88-adb3-eb71ba41d87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12</vt:i4>
      </vt:variant>
    </vt:vector>
  </HeadingPairs>
  <TitlesOfParts>
    <vt:vector size="32" baseType="lpstr">
      <vt:lpstr>CENÁRIOS DE TESTE</vt:lpstr>
      <vt:lpstr>INSTRUÇÕES</vt:lpstr>
      <vt:lpstr>Planilha1</vt:lpstr>
      <vt:lpstr>Máscara</vt:lpstr>
      <vt:lpstr>coleta manual</vt:lpstr>
      <vt:lpstr>pendente</vt:lpstr>
      <vt:lpstr>robot</vt:lpstr>
      <vt:lpstr>Termo de adesão BMW-Std</vt:lpstr>
      <vt:lpstr>Termo de adesão BMW-Std (2)</vt:lpstr>
      <vt:lpstr>Termo de adesão BEV-Std</vt:lpstr>
      <vt:lpstr>Termo de adesão BMW-Plus</vt:lpstr>
      <vt:lpstr>Termo de adesão BMW-Plus (2)</vt:lpstr>
      <vt:lpstr>Termo de adesão BEV-Plus</vt:lpstr>
      <vt:lpstr>Termo de adesão MINI-Std</vt:lpstr>
      <vt:lpstr>Termo de adesão MINI-Plus</vt:lpstr>
      <vt:lpstr>Termo de adesão MINI-Std (2)</vt:lpstr>
      <vt:lpstr>Termo de adesão MINI-Plus (2)</vt:lpstr>
      <vt:lpstr>Controle</vt:lpstr>
      <vt:lpstr>cálculo</vt:lpstr>
      <vt:lpstr>Price</vt:lpstr>
      <vt:lpstr>INSTRUÇÕES!Area_de_impressao</vt:lpstr>
      <vt:lpstr>Máscara!Area_de_impressao</vt:lpstr>
      <vt:lpstr>'Termo de adesão BEV-Plus'!Area_de_impressao</vt:lpstr>
      <vt:lpstr>'Termo de adesão BEV-Std'!Area_de_impressao</vt:lpstr>
      <vt:lpstr>'Termo de adesão BMW-Plus'!Area_de_impressao</vt:lpstr>
      <vt:lpstr>'Termo de adesão BMW-Plus (2)'!Area_de_impressao</vt:lpstr>
      <vt:lpstr>'Termo de adesão BMW-Std'!Area_de_impressao</vt:lpstr>
      <vt:lpstr>'Termo de adesão BMW-Std (2)'!Area_de_impressao</vt:lpstr>
      <vt:lpstr>'Termo de adesão MINI-Plus'!Area_de_impressao</vt:lpstr>
      <vt:lpstr>'Termo de adesão MINI-Plus (2)'!Area_de_impressao</vt:lpstr>
      <vt:lpstr>'Termo de adesão MINI-Std'!Area_de_impressao</vt:lpstr>
      <vt:lpstr>'Termo de adesão MINI-Std (2)'!Area_de_impressao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TSUHA</dc:creator>
  <cp:lastModifiedBy>Vinicius Venancio Martins</cp:lastModifiedBy>
  <cp:lastPrinted>2022-10-04T15:28:46Z</cp:lastPrinted>
  <dcterms:created xsi:type="dcterms:W3CDTF">2022-06-20T12:54:32Z</dcterms:created>
  <dcterms:modified xsi:type="dcterms:W3CDTF">2023-01-06T12:54:31Z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0x0101005558BBBB43482544A0B88E482367BEE1</vt:lpwstr>
  </property>
  <property fmtid="{D5CDD505-2E9C-101B-9397-08002B2CF9AE}" pid="3" name="MediaServiceImageTags">
    <vt:lpwstr/>
  </property>
</Properties>
</file>